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166925"/>
  <mc:AlternateContent xmlns:mc="http://schemas.openxmlformats.org/markup-compatibility/2006">
    <mc:Choice Requires="x15">
      <x15ac:absPath xmlns:x15ac="http://schemas.microsoft.com/office/spreadsheetml/2010/11/ac" url="https://d.docs.live.net/4dc533be277e7448/Escritorio/Universidad/Magíster/Datos/"/>
    </mc:Choice>
  </mc:AlternateContent>
  <xr:revisionPtr revIDLastSave="12" documentId="8_{73496472-2533-4E9A-A12B-1F7FAE7D6D84}" xr6:coauthVersionLast="47" xr6:coauthVersionMax="47" xr10:uidLastSave="{6180506F-D8EC-4015-B6DA-064261ABA13E}"/>
  <bookViews>
    <workbookView minimized="1" xWindow="768" yWindow="768" windowWidth="17280" windowHeight="8880" activeTab="1" xr2:uid="{F9E6CC1C-9B9F-4DE5-9059-464DF7F4068B}"/>
  </bookViews>
  <sheets>
    <sheet name="Welcome" sheetId="4" r:id="rId1"/>
    <sheet name="Data" sheetId="2" r:id="rId2"/>
    <sheet name="Lookup" sheetId="5" state="hidden" r:id="rId3"/>
    <sheet name="Result" sheetId="3"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7" i="2" l="1"/>
  <c r="S8" i="2"/>
  <c r="S9" i="2"/>
  <c r="S10" i="2"/>
  <c r="S11" i="2"/>
  <c r="S12" i="2"/>
  <c r="S13" i="2"/>
  <c r="S14" i="2"/>
  <c r="S15" i="2"/>
  <c r="S16" i="2"/>
  <c r="S17" i="2"/>
  <c r="S18" i="2"/>
  <c r="S19" i="2"/>
  <c r="S20" i="2"/>
  <c r="S21" i="2"/>
  <c r="S22" i="2"/>
  <c r="S23" i="2"/>
  <c r="S24" i="2"/>
  <c r="S25" i="2"/>
  <c r="S26" i="2"/>
  <c r="D17" i="3" l="1"/>
  <c r="D15" i="3" l="1"/>
  <c r="D13" i="3"/>
  <c r="P8" i="3"/>
  <c r="P9" i="3"/>
  <c r="P10" i="3"/>
  <c r="P11" i="3"/>
  <c r="P12" i="3"/>
  <c r="P13" i="3"/>
  <c r="P14" i="3"/>
  <c r="P15" i="3"/>
  <c r="P16" i="3"/>
  <c r="P17" i="3"/>
  <c r="P18" i="3"/>
  <c r="P19" i="3"/>
  <c r="P20" i="3"/>
  <c r="P21" i="3"/>
  <c r="P22" i="3"/>
  <c r="P23" i="3"/>
  <c r="N8" i="3"/>
  <c r="N9" i="3"/>
  <c r="N10" i="3"/>
  <c r="N11" i="3"/>
  <c r="N12" i="3"/>
  <c r="N13" i="3"/>
  <c r="N14" i="3"/>
  <c r="N15" i="3"/>
  <c r="N16" i="3"/>
  <c r="N17" i="3"/>
  <c r="N18" i="3"/>
  <c r="N19" i="3"/>
  <c r="N20" i="3"/>
  <c r="N21" i="3"/>
  <c r="N22" i="3"/>
  <c r="N23" i="3"/>
  <c r="T28" i="3"/>
  <c r="T27" i="3"/>
  <c r="D9" i="3"/>
  <c r="D7" i="3"/>
  <c r="D11" i="3" l="1"/>
  <c r="B3" i="5" l="1"/>
  <c r="B4" i="5"/>
  <c r="B5" i="5"/>
  <c r="B6" i="5"/>
  <c r="B7" i="5"/>
  <c r="B8" i="5"/>
  <c r="B9" i="5"/>
  <c r="B10" i="5"/>
  <c r="B11" i="5"/>
  <c r="B12" i="5"/>
  <c r="B13" i="5"/>
  <c r="B14" i="5"/>
  <c r="B15" i="5"/>
  <c r="B16" i="5"/>
  <c r="B17" i="5"/>
  <c r="B18" i="5"/>
  <c r="B19" i="5"/>
  <c r="B20" i="5"/>
  <c r="B21" i="5"/>
  <c r="B22" i="5"/>
  <c r="B23" i="5"/>
  <c r="B24" i="5"/>
  <c r="B25" i="5"/>
  <c r="B26" i="5"/>
  <c r="B27" i="5"/>
  <c r="B28" i="5"/>
  <c r="B29" i="5"/>
  <c r="B30" i="5"/>
  <c r="B31" i="5"/>
  <c r="B32" i="5"/>
  <c r="B33" i="5"/>
  <c r="B34" i="5"/>
  <c r="B35" i="5"/>
  <c r="B36" i="5"/>
  <c r="B37" i="5"/>
  <c r="B38" i="5"/>
  <c r="B39" i="5"/>
  <c r="B40" i="5"/>
  <c r="B41" i="5"/>
  <c r="B42" i="5"/>
  <c r="B43" i="5"/>
  <c r="B44" i="5"/>
  <c r="B45" i="5"/>
  <c r="B46" i="5"/>
  <c r="B47" i="5"/>
  <c r="B48" i="5"/>
  <c r="B49" i="5"/>
  <c r="B50" i="5"/>
  <c r="B51" i="5"/>
  <c r="B52" i="5"/>
  <c r="B53" i="5"/>
  <c r="B54" i="5"/>
  <c r="B55" i="5"/>
  <c r="B56" i="5"/>
  <c r="B57" i="5"/>
  <c r="B58" i="5"/>
  <c r="B59" i="5"/>
  <c r="B60" i="5"/>
  <c r="B61" i="5"/>
  <c r="B62" i="5"/>
  <c r="B63" i="5"/>
  <c r="B64" i="5"/>
  <c r="B65" i="5"/>
  <c r="B66" i="5"/>
  <c r="B67" i="5"/>
  <c r="B68" i="5"/>
  <c r="B69" i="5"/>
  <c r="B70" i="5"/>
  <c r="B71" i="5"/>
  <c r="B72" i="5"/>
  <c r="B73" i="5"/>
  <c r="B74" i="5"/>
  <c r="B75" i="5"/>
  <c r="B76" i="5"/>
  <c r="B77" i="5"/>
  <c r="B78" i="5"/>
  <c r="B79" i="5"/>
  <c r="B80" i="5"/>
  <c r="B81" i="5"/>
  <c r="B82" i="5"/>
  <c r="B83" i="5"/>
  <c r="B84" i="5"/>
  <c r="B85" i="5"/>
  <c r="B86" i="5"/>
  <c r="B87" i="5"/>
  <c r="B88" i="5"/>
  <c r="B89" i="5"/>
  <c r="B90" i="5"/>
  <c r="B91" i="5"/>
  <c r="B92" i="5"/>
  <c r="B93" i="5"/>
  <c r="B94" i="5"/>
  <c r="B95" i="5"/>
  <c r="B96" i="5"/>
  <c r="B97" i="5"/>
  <c r="B98" i="5"/>
  <c r="B99" i="5"/>
  <c r="B100" i="5"/>
  <c r="B101" i="5"/>
  <c r="B2" i="5"/>
  <c r="A2" i="5"/>
  <c r="A49" i="5" l="1"/>
  <c r="A45" i="5"/>
  <c r="A41" i="5"/>
  <c r="A37" i="5"/>
  <c r="A33" i="5"/>
  <c r="A29" i="5"/>
  <c r="A25" i="5"/>
  <c r="A21" i="5"/>
  <c r="A17" i="5"/>
  <c r="A13" i="5"/>
  <c r="A9" i="5"/>
  <c r="A5" i="5"/>
  <c r="A88" i="5"/>
  <c r="A72" i="5"/>
  <c r="A56" i="5"/>
  <c r="A48" i="5"/>
  <c r="A44" i="5"/>
  <c r="A40" i="5"/>
  <c r="A36" i="5"/>
  <c r="A32" i="5"/>
  <c r="A28" i="5"/>
  <c r="A24" i="5"/>
  <c r="A20" i="5"/>
  <c r="A16" i="5"/>
  <c r="A12" i="5"/>
  <c r="A8" i="5"/>
  <c r="A4" i="5"/>
  <c r="A91" i="5"/>
  <c r="A75" i="5"/>
  <c r="A59" i="5"/>
  <c r="A51" i="5"/>
  <c r="A47" i="5"/>
  <c r="A43" i="5"/>
  <c r="A39" i="5"/>
  <c r="A35" i="5"/>
  <c r="A31" i="5"/>
  <c r="A27" i="5"/>
  <c r="A23" i="5"/>
  <c r="A19" i="5"/>
  <c r="A15" i="5"/>
  <c r="A11" i="5"/>
  <c r="A7" i="5"/>
  <c r="A3" i="5"/>
  <c r="A94" i="5"/>
  <c r="A78" i="5"/>
  <c r="A62" i="5"/>
  <c r="A50" i="5"/>
  <c r="A46" i="5"/>
  <c r="A42" i="5"/>
  <c r="A38" i="5"/>
  <c r="A34" i="5"/>
  <c r="A30" i="5"/>
  <c r="A26" i="5"/>
  <c r="A22" i="5"/>
  <c r="A18" i="5"/>
  <c r="A14" i="5"/>
  <c r="A10" i="5"/>
  <c r="A6" i="5"/>
  <c r="A97" i="5"/>
  <c r="A93" i="5"/>
  <c r="A85" i="5"/>
  <c r="A81" i="5"/>
  <c r="A77" i="5"/>
  <c r="A73" i="5"/>
  <c r="A69" i="5"/>
  <c r="A65" i="5"/>
  <c r="A61" i="5"/>
  <c r="A53" i="5"/>
  <c r="A57" i="5"/>
  <c r="A101" i="5"/>
  <c r="A89" i="5"/>
  <c r="A96" i="5"/>
  <c r="A84" i="5"/>
  <c r="A80" i="5"/>
  <c r="A76" i="5"/>
  <c r="A68" i="5"/>
  <c r="A64" i="5"/>
  <c r="A60" i="5"/>
  <c r="A52" i="5"/>
  <c r="A100" i="5"/>
  <c r="A92" i="5"/>
  <c r="A99" i="5"/>
  <c r="A95" i="5"/>
  <c r="A87" i="5"/>
  <c r="A83" i="5"/>
  <c r="A79" i="5"/>
  <c r="A71" i="5"/>
  <c r="A67" i="5"/>
  <c r="A63" i="5"/>
  <c r="A55" i="5"/>
  <c r="A98" i="5"/>
  <c r="A90" i="5"/>
  <c r="A86" i="5"/>
  <c r="A82" i="5"/>
  <c r="A74" i="5"/>
  <c r="A70" i="5"/>
  <c r="A66" i="5"/>
  <c r="A58" i="5"/>
  <c r="A54" i="5"/>
  <c r="H15" i="3" l="1"/>
  <c r="H17" i="3"/>
  <c r="H13" i="3"/>
</calcChain>
</file>

<file path=xl/sharedStrings.xml><?xml version="1.0" encoding="utf-8"?>
<sst xmlns="http://schemas.openxmlformats.org/spreadsheetml/2006/main" count="62" uniqueCount="41">
  <si>
    <t>Chatbot Usability Questionnaire (CUQ) Calculation Tool</t>
  </si>
  <si>
    <t>How to use this tool</t>
  </si>
  <si>
    <t>1. Select the "Data" tab below</t>
  </si>
  <si>
    <t>Question</t>
  </si>
  <si>
    <t>Participant</t>
  </si>
  <si>
    <t>Please enter question scores below</t>
  </si>
  <si>
    <t>Score</t>
  </si>
  <si>
    <t>3. A CUQ score will be calculated for each individual participant.</t>
  </si>
  <si>
    <t>4. Once you have entered all your data, select the "result" tab.</t>
  </si>
  <si>
    <t>The following data will be displayed in your results:</t>
  </si>
  <si>
    <t>i. Mean (and SD) CUQ score for the chatbot under test</t>
  </si>
  <si>
    <t>ii. Highest and lowest CUQ Scores for the chatbot under test (and the participants to whom these scores relate)</t>
  </si>
  <si>
    <t>iii. Mean (and SD) scores for each question</t>
  </si>
  <si>
    <t>If you have any difficulty using this tool, or you have any questions about the CUQ, please contact:</t>
  </si>
  <si>
    <t>Samuel Holmes</t>
  </si>
  <si>
    <t>(holmes-w@ulster.ac.uk)</t>
  </si>
  <si>
    <t>Raymond Bond</t>
  </si>
  <si>
    <t>(rb.bond@ulster.ac.uk)</t>
  </si>
  <si>
    <t>This tool is designed to facilitate quick and easy calculation of CUQ scores.  CUQ scores are calculated out of 100, to facilitate comparison with the System Usability Scale (SUS).</t>
  </si>
  <si>
    <t>2. Enter the question scores for each of your participants.  Question scores are recorded horizontally and participants are recorded vertically.  (There is room for up to 100 participants.  Don't worry If you don't use all 100 rows.)</t>
  </si>
  <si>
    <t>Chatbot Usability Questionnaire Data Entry Form</t>
  </si>
  <si>
    <t>Chatbot Usability Questionnaire Results</t>
  </si>
  <si>
    <t>±</t>
  </si>
  <si>
    <r>
      <t xml:space="preserve">Enter your CUQ question scores for each of your participants using the grid on the left.  You can copy and paste scores from a CSV file or type them in manually.  Individual CUQ scores per participant will be calculated and appear in the "Score" column automatically.  </t>
    </r>
    <r>
      <rPr>
        <b/>
        <sz val="12"/>
        <color theme="1"/>
        <rFont val="Calibri"/>
        <family val="2"/>
        <scheme val="minor"/>
      </rPr>
      <t>Note: Please do not modify any formulas in the "Score" column, as this will affect your results.</t>
    </r>
    <r>
      <rPr>
        <sz val="12"/>
        <color theme="1"/>
        <rFont val="Calibri"/>
        <family val="2"/>
        <scheme val="minor"/>
      </rPr>
      <t xml:space="preserve">  If you have fewer than 100 participants, delete data from any unused rows (including "Score" column).</t>
    </r>
  </si>
  <si>
    <t>P</t>
  </si>
  <si>
    <t>Chatbot being tested:</t>
  </si>
  <si>
    <t>CUQ Score</t>
  </si>
  <si>
    <t>Q</t>
  </si>
  <si>
    <t>sd</t>
  </si>
  <si>
    <t>cuqmean</t>
  </si>
  <si>
    <t>Chatbot</t>
  </si>
  <si>
    <t>Lowest Score</t>
  </si>
  <si>
    <t>Highest Score</t>
  </si>
  <si>
    <t>Results</t>
  </si>
  <si>
    <t>Mean Question Scores</t>
  </si>
  <si>
    <t>Median Score</t>
  </si>
  <si>
    <t>Participants</t>
  </si>
  <si>
    <r>
      <t xml:space="preserve">This is the results page.  Mean CUQ score,  lowest, highest and median scores are above.  Mean scores per question are on the right. </t>
    </r>
    <r>
      <rPr>
        <b/>
        <sz val="12"/>
        <color theme="1"/>
        <rFont val="Calibri"/>
        <family val="2"/>
        <scheme val="minor"/>
      </rPr>
      <t>Note: It is normal for Median Score participant to be listed as N/A if you have an even number of participants!</t>
    </r>
  </si>
  <si>
    <t>CUQ Research Team:</t>
  </si>
  <si>
    <t>Samuel Holmes, Ulster University
Anne Moorhead, School of Communication &amp; Media/Institute of Nursing Research, Ulster University
Raymond Bond, School of Computing, Ulster University
Huiru Zheng, School of Computing, Ulster University
Vivien Coates, Institute of Nursing Research, Ulster University
Michael McTear, School of Computing, Ulster University</t>
  </si>
  <si>
    <t>Estandar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</si>
</sst>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8" x14ac:knownFonts="1">
    <font>
      <sz val="11"/>
      <color theme="1"/>
      <name val="Calibri"/>
      <family val="2"/>
      <scheme val="minor"/>
    </font>
    <font>
      <b/>
      <sz val="16"/>
      <color theme="1"/>
      <name val="Calibri"/>
      <family val="2"/>
      <scheme val="minor"/>
    </font>
    <font>
      <sz val="12"/>
      <color theme="1"/>
      <name val="Calibri"/>
      <family val="2"/>
      <scheme val="minor"/>
    </font>
    <font>
      <b/>
      <sz val="12"/>
      <color theme="1"/>
      <name val="Calibri"/>
      <family val="2"/>
      <scheme val="minor"/>
    </font>
    <font>
      <u/>
      <sz val="11"/>
      <color theme="10"/>
      <name val="Calibri"/>
      <family val="2"/>
      <scheme val="minor"/>
    </font>
    <font>
      <i/>
      <sz val="12"/>
      <color theme="1"/>
      <name val="Calibri"/>
      <family val="2"/>
      <scheme val="minor"/>
    </font>
    <font>
      <b/>
      <i/>
      <sz val="12"/>
      <color theme="1"/>
      <name val="Calibri"/>
      <family val="2"/>
      <scheme val="minor"/>
    </font>
    <font>
      <u/>
      <sz val="12"/>
      <color theme="10"/>
      <name val="Calibri"/>
      <family val="2"/>
      <scheme val="minor"/>
    </font>
  </fonts>
  <fills count="4">
    <fill>
      <patternFill patternType="none"/>
    </fill>
    <fill>
      <patternFill patternType="gray125"/>
    </fill>
    <fill>
      <patternFill patternType="solid">
        <fgColor theme="4" tint="0.79998168889431442"/>
        <bgColor indexed="64"/>
      </patternFill>
    </fill>
    <fill>
      <patternFill patternType="solid">
        <fgColor theme="0"/>
        <bgColor indexed="64"/>
      </patternFill>
    </fill>
  </fills>
  <borders count="2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diagonal/>
    </border>
    <border>
      <left style="thin">
        <color indexed="64"/>
      </left>
      <right/>
      <top style="thin">
        <color indexed="64"/>
      </top>
      <bottom style="thin">
        <color indexed="64"/>
      </bottom>
      <diagonal/>
    </border>
    <border>
      <left/>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auto="1"/>
      </right>
      <top style="thin">
        <color auto="1"/>
      </top>
      <bottom/>
      <diagonal/>
    </border>
    <border>
      <left style="double">
        <color theme="4" tint="-0.499984740745262"/>
      </left>
      <right style="double">
        <color theme="4" tint="0.39994506668294322"/>
      </right>
      <top style="double">
        <color theme="4" tint="-0.499984740745262"/>
      </top>
      <bottom style="double">
        <color theme="4" tint="0.39994506668294322"/>
      </bottom>
      <diagonal/>
    </border>
    <border>
      <left style="double">
        <color theme="4" tint="-0.499984740745262"/>
      </left>
      <right/>
      <top style="double">
        <color theme="4" tint="-0.499984740745262"/>
      </top>
      <bottom style="double">
        <color theme="4" tint="0.39994506668294322"/>
      </bottom>
      <diagonal/>
    </border>
    <border>
      <left/>
      <right/>
      <top style="double">
        <color theme="4" tint="-0.499984740745262"/>
      </top>
      <bottom style="double">
        <color theme="4" tint="0.39994506668294322"/>
      </bottom>
      <diagonal/>
    </border>
    <border>
      <left/>
      <right style="double">
        <color theme="4" tint="0.39994506668294322"/>
      </right>
      <top style="double">
        <color theme="4" tint="-0.499984740745262"/>
      </top>
      <bottom style="double">
        <color theme="4" tint="0.39994506668294322"/>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double">
        <color theme="4" tint="-0.24994659260841701"/>
      </left>
      <right/>
      <top style="double">
        <color theme="4" tint="-0.24994659260841701"/>
      </top>
      <bottom style="double">
        <color theme="4" tint="0.39994506668294322"/>
      </bottom>
      <diagonal/>
    </border>
    <border>
      <left/>
      <right style="double">
        <color theme="4" tint="0.39994506668294322"/>
      </right>
      <top style="double">
        <color theme="4" tint="-0.24994659260841701"/>
      </top>
      <bottom style="double">
        <color theme="4" tint="0.39994506668294322"/>
      </bottom>
      <diagonal/>
    </border>
    <border>
      <left style="double">
        <color theme="4" tint="-0.24994659260841701"/>
      </left>
      <right style="thin">
        <color auto="1"/>
      </right>
      <top style="double">
        <color theme="4" tint="-0.24994659260841701"/>
      </top>
      <bottom style="double">
        <color theme="4" tint="0.39994506668294322"/>
      </bottom>
      <diagonal/>
    </border>
    <border>
      <left style="thin">
        <color auto="1"/>
      </left>
      <right style="thin">
        <color auto="1"/>
      </right>
      <top style="double">
        <color theme="4" tint="-0.24994659260841701"/>
      </top>
      <bottom style="double">
        <color theme="4" tint="0.39994506668294322"/>
      </bottom>
      <diagonal/>
    </border>
    <border>
      <left style="thin">
        <color auto="1"/>
      </left>
      <right style="double">
        <color theme="4" tint="0.39994506668294322"/>
      </right>
      <top style="double">
        <color theme="4" tint="-0.24994659260841701"/>
      </top>
      <bottom style="double">
        <color theme="4" tint="0.39994506668294322"/>
      </bottom>
      <diagonal/>
    </border>
    <border>
      <left/>
      <right style="double">
        <color theme="4" tint="-0.24994659260841701"/>
      </right>
      <top/>
      <bottom/>
      <diagonal/>
    </border>
    <border>
      <left style="double">
        <color theme="4" tint="-0.24994659260841701"/>
      </left>
      <right style="double">
        <color theme="4" tint="0.39994506668294322"/>
      </right>
      <top style="double">
        <color theme="4" tint="-0.24994659260841701"/>
      </top>
      <bottom style="double">
        <color theme="4" tint="0.39994506668294322"/>
      </bottom>
      <diagonal/>
    </border>
  </borders>
  <cellStyleXfs count="2">
    <xf numFmtId="0" fontId="0" fillId="0" borderId="0"/>
    <xf numFmtId="0" fontId="4" fillId="0" borderId="0" applyNumberFormat="0" applyFill="0" applyBorder="0" applyAlignment="0" applyProtection="0"/>
  </cellStyleXfs>
  <cellXfs count="91">
    <xf numFmtId="0" fontId="0" fillId="0" borderId="0" xfId="0"/>
    <xf numFmtId="0" fontId="0" fillId="0" borderId="0" xfId="0" applyAlignment="1">
      <alignment vertical="center"/>
    </xf>
    <xf numFmtId="0" fontId="0" fillId="0" borderId="0" xfId="0" applyAlignment="1">
      <alignment horizontal="center" vertical="center"/>
    </xf>
    <xf numFmtId="0" fontId="3" fillId="0" borderId="0" xfId="0" applyFont="1" applyAlignment="1">
      <alignment vertical="center"/>
    </xf>
    <xf numFmtId="0" fontId="0" fillId="0" borderId="0" xfId="0" applyAlignment="1" applyProtection="1">
      <alignment horizontal="center" vertical="center"/>
      <protection locked="0"/>
    </xf>
    <xf numFmtId="0" fontId="0" fillId="0" borderId="0" xfId="0" applyAlignment="1" applyProtection="1">
      <alignment vertical="center"/>
      <protection locked="0"/>
    </xf>
    <xf numFmtId="0" fontId="3" fillId="0" borderId="0" xfId="0" applyFont="1" applyAlignment="1" applyProtection="1">
      <alignment horizontal="left" vertical="center"/>
      <protection locked="0"/>
    </xf>
    <xf numFmtId="0" fontId="0" fillId="0" borderId="0" xfId="0" applyAlignment="1" applyProtection="1">
      <alignment horizontal="left" vertical="center"/>
      <protection locked="0"/>
    </xf>
    <xf numFmtId="0" fontId="0" fillId="0" borderId="0" xfId="0" applyProtection="1">
      <protection locked="0"/>
    </xf>
    <xf numFmtId="0" fontId="0" fillId="0" borderId="0" xfId="0" applyAlignment="1" applyProtection="1">
      <alignment horizontal="left"/>
      <protection locked="0"/>
    </xf>
    <xf numFmtId="0" fontId="3" fillId="0" borderId="1" xfId="0" applyFont="1" applyBorder="1" applyAlignment="1">
      <alignment horizontal="right" vertical="center"/>
    </xf>
    <xf numFmtId="0" fontId="3" fillId="0" borderId="1" xfId="0" applyFont="1" applyBorder="1" applyAlignment="1">
      <alignment horizontal="center" vertical="center"/>
    </xf>
    <xf numFmtId="0" fontId="3" fillId="0" borderId="2" xfId="0" applyFont="1" applyBorder="1" applyAlignment="1">
      <alignment horizontal="center" vertical="center"/>
    </xf>
    <xf numFmtId="0" fontId="1" fillId="0" borderId="0" xfId="0" applyFont="1" applyAlignment="1">
      <alignment horizontal="center" vertical="center"/>
    </xf>
    <xf numFmtId="0" fontId="0" fillId="0" borderId="0" xfId="0" applyAlignment="1">
      <alignment vertical="center" wrapText="1"/>
    </xf>
    <xf numFmtId="164" fontId="0" fillId="0" borderId="0" xfId="0" applyNumberFormat="1" applyAlignment="1">
      <alignment horizontal="center" vertical="center"/>
    </xf>
    <xf numFmtId="0" fontId="3" fillId="0" borderId="1" xfId="0" applyFont="1" applyBorder="1" applyAlignment="1">
      <alignment horizontal="center"/>
    </xf>
    <xf numFmtId="0" fontId="2" fillId="0" borderId="0" xfId="0" applyFont="1"/>
    <xf numFmtId="0" fontId="3" fillId="0" borderId="0" xfId="0" applyFont="1"/>
    <xf numFmtId="0" fontId="3" fillId="0" borderId="0" xfId="0" applyFont="1" applyAlignment="1">
      <alignment horizontal="center" vertical="center"/>
    </xf>
    <xf numFmtId="164" fontId="3" fillId="0" borderId="0" xfId="0" applyNumberFormat="1" applyFont="1" applyAlignment="1">
      <alignment vertical="center"/>
    </xf>
    <xf numFmtId="164" fontId="3" fillId="0" borderId="0" xfId="0" applyNumberFormat="1" applyFont="1" applyAlignment="1">
      <alignment horizontal="center" vertical="center"/>
    </xf>
    <xf numFmtId="164" fontId="3" fillId="0" borderId="0" xfId="0" applyNumberFormat="1" applyFont="1"/>
    <xf numFmtId="49" fontId="3" fillId="0" borderId="0" xfId="0" applyNumberFormat="1" applyFont="1" applyAlignment="1">
      <alignment horizontal="center" vertical="center"/>
    </xf>
    <xf numFmtId="0" fontId="3" fillId="2" borderId="9" xfId="0" applyFont="1" applyFill="1" applyBorder="1" applyAlignment="1">
      <alignment horizontal="center" vertical="center"/>
    </xf>
    <xf numFmtId="49" fontId="3" fillId="0" borderId="1" xfId="0" applyNumberFormat="1" applyFont="1" applyBorder="1" applyAlignment="1">
      <alignment horizontal="center" vertical="center"/>
    </xf>
    <xf numFmtId="164" fontId="3" fillId="0" borderId="4" xfId="0" applyNumberFormat="1" applyFont="1" applyBorder="1" applyAlignment="1">
      <alignment horizontal="right" vertical="center"/>
    </xf>
    <xf numFmtId="0" fontId="3" fillId="0" borderId="6" xfId="0" applyFont="1" applyBorder="1" applyAlignment="1">
      <alignment horizontal="center" vertical="center"/>
    </xf>
    <xf numFmtId="164" fontId="3" fillId="0" borderId="7" xfId="0" applyNumberFormat="1" applyFont="1" applyBorder="1" applyAlignment="1">
      <alignment horizontal="left" vertical="center"/>
    </xf>
    <xf numFmtId="0" fontId="3" fillId="0" borderId="0" xfId="0" applyFont="1" applyAlignment="1">
      <alignment horizontal="center"/>
    </xf>
    <xf numFmtId="0" fontId="3" fillId="0" borderId="13" xfId="0" applyFont="1" applyBorder="1" applyAlignment="1">
      <alignment vertical="center"/>
    </xf>
    <xf numFmtId="0" fontId="3" fillId="0" borderId="14" xfId="0" applyFont="1" applyBorder="1" applyAlignment="1">
      <alignment vertical="center"/>
    </xf>
    <xf numFmtId="0" fontId="3" fillId="0" borderId="15" xfId="0" applyFont="1" applyBorder="1" applyAlignment="1">
      <alignment vertical="center"/>
    </xf>
    <xf numFmtId="0" fontId="3" fillId="0" borderId="16" xfId="0" applyFont="1" applyBorder="1" applyAlignment="1">
      <alignment vertical="center"/>
    </xf>
    <xf numFmtId="0" fontId="3" fillId="0" borderId="17" xfId="0" applyFont="1" applyBorder="1" applyAlignment="1">
      <alignment horizontal="center" vertical="center"/>
    </xf>
    <xf numFmtId="0" fontId="3" fillId="0" borderId="17" xfId="0" applyFont="1" applyBorder="1" applyAlignment="1">
      <alignment vertical="center"/>
    </xf>
    <xf numFmtId="0" fontId="3" fillId="0" borderId="17" xfId="0" applyFont="1" applyBorder="1" applyAlignment="1">
      <alignment horizontal="center"/>
    </xf>
    <xf numFmtId="0" fontId="3" fillId="0" borderId="0" xfId="0" applyFont="1" applyAlignment="1">
      <alignment horizontal="left" vertical="center"/>
    </xf>
    <xf numFmtId="0" fontId="3" fillId="0" borderId="17" xfId="0" applyFont="1" applyBorder="1"/>
    <xf numFmtId="0" fontId="3" fillId="0" borderId="19" xfId="0" applyFont="1" applyBorder="1"/>
    <xf numFmtId="0" fontId="3" fillId="0" borderId="20" xfId="0" applyFont="1" applyBorder="1"/>
    <xf numFmtId="49" fontId="3" fillId="0" borderId="16" xfId="0" applyNumberFormat="1" applyFont="1" applyBorder="1" applyAlignment="1">
      <alignment horizontal="center" vertical="center"/>
    </xf>
    <xf numFmtId="49" fontId="3" fillId="0" borderId="17" xfId="0" applyNumberFormat="1" applyFont="1" applyBorder="1" applyAlignment="1">
      <alignment horizontal="center" vertical="center"/>
    </xf>
    <xf numFmtId="0" fontId="3" fillId="0" borderId="16" xfId="0" applyFont="1" applyBorder="1"/>
    <xf numFmtId="0" fontId="3" fillId="0" borderId="18" xfId="0" applyFont="1" applyBorder="1"/>
    <xf numFmtId="0" fontId="3" fillId="0" borderId="0" xfId="0" applyFont="1" applyAlignment="1">
      <alignment horizontal="center" vertical="center" wrapText="1"/>
    </xf>
    <xf numFmtId="164" fontId="3" fillId="2" borderId="9" xfId="0" applyNumberFormat="1" applyFont="1" applyFill="1" applyBorder="1" applyAlignment="1">
      <alignment horizontal="center" vertical="center"/>
    </xf>
    <xf numFmtId="164" fontId="3" fillId="2" borderId="9" xfId="0" applyNumberFormat="1" applyFont="1" applyFill="1" applyBorder="1" applyAlignment="1">
      <alignment horizontal="center"/>
    </xf>
    <xf numFmtId="0" fontId="0" fillId="0" borderId="18" xfId="0" applyBorder="1"/>
    <xf numFmtId="0" fontId="0" fillId="0" borderId="19" xfId="0" applyBorder="1" applyAlignment="1">
      <alignment vertical="center"/>
    </xf>
    <xf numFmtId="0" fontId="0" fillId="0" borderId="19" xfId="0" applyBorder="1"/>
    <xf numFmtId="0" fontId="0" fillId="0" borderId="20" xfId="0" applyBorder="1"/>
    <xf numFmtId="164" fontId="3" fillId="2" borderId="27" xfId="0" applyNumberFormat="1" applyFont="1" applyFill="1" applyBorder="1" applyAlignment="1">
      <alignment horizontal="center" vertical="center"/>
    </xf>
    <xf numFmtId="0" fontId="3" fillId="0" borderId="0" xfId="0" applyFont="1" applyProtection="1">
      <protection locked="0"/>
    </xf>
    <xf numFmtId="0" fontId="2" fillId="0" borderId="0" xfId="0" applyFont="1" applyAlignment="1" applyProtection="1">
      <alignment horizontal="left" vertical="center"/>
      <protection locked="0"/>
    </xf>
    <xf numFmtId="0" fontId="3" fillId="3" borderId="1" xfId="0" applyFont="1" applyFill="1" applyBorder="1" applyAlignment="1">
      <alignment horizontal="center" vertical="center"/>
    </xf>
    <xf numFmtId="0" fontId="0" fillId="3" borderId="1" xfId="0" applyFill="1" applyBorder="1" applyAlignment="1">
      <alignment horizontal="center" vertical="center"/>
    </xf>
    <xf numFmtId="164" fontId="3" fillId="3" borderId="1" xfId="0" applyNumberFormat="1" applyFont="1" applyFill="1" applyBorder="1" applyAlignment="1">
      <alignment horizontal="center" vertical="center"/>
    </xf>
    <xf numFmtId="0" fontId="3" fillId="3" borderId="2" xfId="0" applyFont="1" applyFill="1" applyBorder="1" applyAlignment="1">
      <alignment horizontal="center" vertical="center"/>
    </xf>
    <xf numFmtId="0" fontId="1" fillId="0" borderId="0" xfId="0" applyFont="1" applyAlignment="1">
      <alignment horizontal="center"/>
    </xf>
    <xf numFmtId="0" fontId="2" fillId="0" borderId="0" xfId="0" applyFont="1" applyAlignment="1">
      <alignment horizontal="center"/>
    </xf>
    <xf numFmtId="0" fontId="3" fillId="0" borderId="0" xfId="0" applyFont="1" applyAlignment="1">
      <alignment horizontal="center" vertical="center"/>
    </xf>
    <xf numFmtId="49" fontId="3" fillId="0" borderId="3" xfId="0" applyNumberFormat="1" applyFont="1" applyBorder="1" applyAlignment="1">
      <alignment horizontal="center" vertical="center"/>
    </xf>
    <xf numFmtId="49" fontId="3" fillId="0" borderId="8" xfId="0" applyNumberFormat="1" applyFont="1" applyBorder="1" applyAlignment="1">
      <alignment horizontal="center" vertical="center"/>
    </xf>
    <xf numFmtId="0" fontId="3" fillId="0" borderId="13" xfId="0" applyFont="1" applyBorder="1" applyAlignment="1">
      <alignment horizontal="center" vertical="center" wrapText="1"/>
    </xf>
    <xf numFmtId="0" fontId="3" fillId="0" borderId="14" xfId="0" applyFont="1" applyBorder="1" applyAlignment="1">
      <alignment horizontal="center" vertical="center" wrapText="1"/>
    </xf>
    <xf numFmtId="0" fontId="3" fillId="0" borderId="15" xfId="0" applyFont="1" applyBorder="1" applyAlignment="1">
      <alignment horizontal="center" vertical="center" wrapText="1"/>
    </xf>
    <xf numFmtId="0" fontId="3" fillId="0" borderId="16" xfId="0" applyFont="1" applyBorder="1" applyAlignment="1">
      <alignment horizontal="center" vertical="center" wrapText="1"/>
    </xf>
    <xf numFmtId="0" fontId="3" fillId="0" borderId="0" xfId="0" applyFont="1" applyAlignment="1">
      <alignment horizontal="center" vertical="center" wrapText="1"/>
    </xf>
    <xf numFmtId="0" fontId="3" fillId="0" borderId="17" xfId="0" applyFont="1" applyBorder="1" applyAlignment="1">
      <alignment horizontal="center" vertical="center" wrapText="1"/>
    </xf>
    <xf numFmtId="0" fontId="3" fillId="0" borderId="0" xfId="0" applyFont="1" applyAlignment="1">
      <alignment horizontal="left" vertical="center"/>
    </xf>
    <xf numFmtId="0" fontId="2" fillId="0" borderId="0" xfId="0" applyFont="1" applyAlignment="1">
      <alignment horizontal="left" vertical="center" wrapText="1"/>
    </xf>
    <xf numFmtId="0" fontId="3" fillId="2" borderId="10" xfId="0" applyFont="1" applyFill="1" applyBorder="1" applyAlignment="1">
      <alignment horizontal="center"/>
    </xf>
    <xf numFmtId="0" fontId="3" fillId="2" borderId="11" xfId="0" applyFont="1" applyFill="1" applyBorder="1" applyAlignment="1">
      <alignment horizontal="center"/>
    </xf>
    <xf numFmtId="0" fontId="3" fillId="2" borderId="12" xfId="0" applyFont="1" applyFill="1" applyBorder="1" applyAlignment="1">
      <alignment horizontal="center"/>
    </xf>
    <xf numFmtId="0" fontId="3" fillId="0" borderId="26" xfId="0" applyFont="1" applyBorder="1" applyAlignment="1">
      <alignment horizontal="left" vertical="center"/>
    </xf>
    <xf numFmtId="0" fontId="3" fillId="2" borderId="21" xfId="0" applyFont="1" applyFill="1" applyBorder="1" applyAlignment="1">
      <alignment horizontal="center"/>
    </xf>
    <xf numFmtId="0" fontId="3" fillId="2" borderId="22" xfId="0" applyFont="1" applyFill="1" applyBorder="1" applyAlignment="1">
      <alignment horizontal="center"/>
    </xf>
    <xf numFmtId="0" fontId="3" fillId="2" borderId="21" xfId="0" applyFont="1" applyFill="1" applyBorder="1" applyAlignment="1">
      <alignment horizontal="center" vertical="center"/>
    </xf>
    <xf numFmtId="0" fontId="3" fillId="2" borderId="22" xfId="0" applyFont="1" applyFill="1" applyBorder="1" applyAlignment="1">
      <alignment horizontal="center" vertical="center"/>
    </xf>
    <xf numFmtId="0" fontId="2" fillId="0" borderId="0" xfId="0" applyFont="1" applyAlignment="1" applyProtection="1">
      <alignment horizontal="left" vertical="center" wrapText="1"/>
      <protection locked="0"/>
    </xf>
    <xf numFmtId="0" fontId="7" fillId="0" borderId="0" xfId="1" applyFont="1" applyAlignment="1" applyProtection="1">
      <alignment horizontal="left" vertical="center"/>
      <protection locked="0"/>
    </xf>
    <xf numFmtId="0" fontId="1" fillId="0" borderId="0" xfId="0" applyFont="1" applyAlignment="1" applyProtection="1">
      <alignment horizontal="center"/>
      <protection locked="0"/>
    </xf>
    <xf numFmtId="0" fontId="5" fillId="0" borderId="1" xfId="0" applyFont="1" applyBorder="1" applyAlignment="1">
      <alignment horizontal="center" vertical="center"/>
    </xf>
    <xf numFmtId="0" fontId="3" fillId="0" borderId="2" xfId="0" applyFont="1" applyBorder="1" applyAlignment="1">
      <alignment horizontal="center" vertical="center" wrapText="1"/>
    </xf>
    <xf numFmtId="0" fontId="3" fillId="0" borderId="1" xfId="0" applyFont="1" applyBorder="1" applyAlignment="1">
      <alignment horizontal="center" vertical="center" wrapText="1"/>
    </xf>
    <xf numFmtId="0" fontId="1" fillId="0" borderId="0" xfId="0" applyFont="1" applyAlignment="1">
      <alignment horizontal="center" vertical="center"/>
    </xf>
    <xf numFmtId="0" fontId="6" fillId="2" borderId="23" xfId="0" applyFont="1" applyFill="1" applyBorder="1" applyAlignment="1">
      <alignment horizontal="center" vertical="center"/>
    </xf>
    <xf numFmtId="0" fontId="6" fillId="2" borderId="24" xfId="0" applyFont="1" applyFill="1" applyBorder="1" applyAlignment="1">
      <alignment horizontal="center" vertical="center"/>
    </xf>
    <xf numFmtId="0" fontId="6" fillId="2" borderId="25" xfId="0" applyFont="1" applyFill="1" applyBorder="1" applyAlignment="1">
      <alignment horizontal="center" vertical="center"/>
    </xf>
    <xf numFmtId="0" fontId="2" fillId="0" borderId="5" xfId="0" applyFont="1" applyBorder="1" applyAlignment="1">
      <alignment horizontal="center" vertical="center"/>
    </xf>
  </cellXfs>
  <cellStyles count="2">
    <cellStyle name="Hipervínculo"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mailto:rb.bond@ulster.ac.uk" TargetMode="External"/><Relationship Id="rId1" Type="http://schemas.openxmlformats.org/officeDocument/2006/relationships/hyperlink" Target="mailto:holmes-w@ulster.ac.uk"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BB1039-7F65-41DA-88E0-A754D955D497}">
  <dimension ref="A1:P27"/>
  <sheetViews>
    <sheetView showGridLines="0" showRowColHeaders="0" workbookViewId="0">
      <selection activeCell="A29" sqref="A29:XFD30"/>
    </sheetView>
  </sheetViews>
  <sheetFormatPr baseColWidth="10" defaultColWidth="0" defaultRowHeight="14.4" zeroHeight="1" x14ac:dyDescent="0.3"/>
  <cols>
    <col min="1" max="1" width="3.6640625" style="8" customWidth="1"/>
    <col min="2" max="15" width="9.109375" style="8" customWidth="1"/>
    <col min="16" max="16" width="3.6640625" style="8" customWidth="1"/>
    <col min="17" max="16384" width="9.109375" style="8" hidden="1"/>
  </cols>
  <sheetData>
    <row r="1" spans="1:16" ht="21" x14ac:dyDescent="0.4">
      <c r="A1" s="82" t="s">
        <v>0</v>
      </c>
      <c r="B1" s="82"/>
      <c r="C1" s="82"/>
      <c r="D1" s="82"/>
      <c r="E1" s="82"/>
      <c r="F1" s="82"/>
      <c r="G1" s="82"/>
      <c r="H1" s="82"/>
      <c r="I1" s="82"/>
      <c r="J1" s="82"/>
      <c r="K1" s="82"/>
      <c r="L1" s="82"/>
      <c r="M1" s="82"/>
      <c r="N1" s="82"/>
      <c r="O1" s="82"/>
      <c r="P1" s="82"/>
    </row>
    <row r="2" spans="1:16" s="5" customFormat="1" x14ac:dyDescent="0.3">
      <c r="A2" s="7"/>
      <c r="B2" s="7"/>
      <c r="C2" s="7"/>
      <c r="D2" s="7"/>
      <c r="E2" s="7"/>
      <c r="F2" s="7"/>
      <c r="G2" s="7"/>
      <c r="H2" s="7"/>
      <c r="I2" s="7"/>
      <c r="J2" s="7"/>
      <c r="K2" s="7"/>
      <c r="L2" s="7"/>
      <c r="M2" s="7"/>
      <c r="N2" s="7"/>
      <c r="O2" s="7"/>
      <c r="P2" s="7"/>
    </row>
    <row r="3" spans="1:16" s="5" customFormat="1" ht="30" customHeight="1" x14ac:dyDescent="0.3">
      <c r="A3" s="7"/>
      <c r="B3" s="80" t="s">
        <v>18</v>
      </c>
      <c r="C3" s="80"/>
      <c r="D3" s="80"/>
      <c r="E3" s="80"/>
      <c r="F3" s="80"/>
      <c r="G3" s="80"/>
      <c r="H3" s="80"/>
      <c r="I3" s="80"/>
      <c r="J3" s="80"/>
      <c r="K3" s="80"/>
      <c r="L3" s="80"/>
      <c r="M3" s="80"/>
      <c r="N3" s="80"/>
      <c r="O3" s="80"/>
      <c r="P3" s="7"/>
    </row>
    <row r="4" spans="1:16" s="5" customFormat="1" x14ac:dyDescent="0.3">
      <c r="A4" s="7"/>
      <c r="B4" s="7"/>
      <c r="C4" s="7"/>
      <c r="D4" s="7"/>
      <c r="E4" s="7"/>
      <c r="F4" s="7"/>
      <c r="G4" s="7"/>
      <c r="H4" s="7"/>
      <c r="I4" s="7"/>
      <c r="J4" s="7"/>
      <c r="K4" s="7"/>
      <c r="L4" s="7"/>
      <c r="M4" s="7"/>
      <c r="N4" s="7"/>
      <c r="O4" s="7"/>
      <c r="P4" s="7"/>
    </row>
    <row r="5" spans="1:16" s="5" customFormat="1" ht="15.6" x14ac:dyDescent="0.3">
      <c r="A5" s="7"/>
      <c r="B5" s="6" t="s">
        <v>1</v>
      </c>
      <c r="C5" s="6"/>
      <c r="D5" s="6"/>
      <c r="E5" s="6"/>
      <c r="F5" s="6"/>
      <c r="G5" s="6"/>
      <c r="H5" s="6"/>
      <c r="I5" s="6"/>
      <c r="J5" s="6"/>
      <c r="K5" s="6"/>
      <c r="L5" s="6"/>
      <c r="M5" s="6"/>
      <c r="N5" s="6"/>
      <c r="O5" s="6"/>
      <c r="P5" s="7"/>
    </row>
    <row r="6" spans="1:16" s="4" customFormat="1" x14ac:dyDescent="0.3">
      <c r="A6" s="7"/>
      <c r="B6" s="7"/>
      <c r="C6" s="7"/>
      <c r="D6" s="7"/>
      <c r="E6" s="7"/>
      <c r="F6" s="7"/>
      <c r="G6" s="7"/>
      <c r="H6" s="7"/>
      <c r="I6" s="7"/>
      <c r="J6" s="7"/>
      <c r="K6" s="7"/>
      <c r="L6" s="7"/>
      <c r="M6" s="7"/>
      <c r="N6" s="7"/>
      <c r="O6" s="7"/>
      <c r="P6" s="7"/>
    </row>
    <row r="7" spans="1:16" s="7" customFormat="1" ht="15.6" x14ac:dyDescent="0.3">
      <c r="B7" s="54" t="s">
        <v>2</v>
      </c>
    </row>
    <row r="8" spans="1:16" s="4" customFormat="1" x14ac:dyDescent="0.3">
      <c r="A8" s="7"/>
      <c r="B8" s="7"/>
      <c r="C8" s="7"/>
      <c r="D8" s="7"/>
      <c r="E8" s="7"/>
      <c r="F8" s="7"/>
      <c r="G8" s="7"/>
      <c r="H8" s="7"/>
      <c r="I8" s="7"/>
      <c r="J8" s="7"/>
      <c r="K8" s="7"/>
      <c r="L8" s="7"/>
      <c r="M8" s="7"/>
      <c r="N8" s="7"/>
      <c r="O8" s="7"/>
      <c r="P8" s="7"/>
    </row>
    <row r="9" spans="1:16" s="7" customFormat="1" ht="30" customHeight="1" x14ac:dyDescent="0.3">
      <c r="B9" s="80" t="s">
        <v>19</v>
      </c>
      <c r="C9" s="80"/>
      <c r="D9" s="80"/>
      <c r="E9" s="80"/>
      <c r="F9" s="80"/>
      <c r="G9" s="80"/>
      <c r="H9" s="80"/>
      <c r="I9" s="80"/>
      <c r="J9" s="80"/>
      <c r="K9" s="80"/>
      <c r="L9" s="80"/>
      <c r="M9" s="80"/>
      <c r="N9" s="80"/>
      <c r="O9" s="80"/>
    </row>
    <row r="10" spans="1:16" s="7" customFormat="1" x14ac:dyDescent="0.3"/>
    <row r="11" spans="1:16" s="7" customFormat="1" ht="15.6" x14ac:dyDescent="0.3">
      <c r="B11" s="54" t="s">
        <v>7</v>
      </c>
    </row>
    <row r="12" spans="1:16" s="4" customFormat="1" x14ac:dyDescent="0.3">
      <c r="A12" s="7"/>
      <c r="B12" s="7"/>
      <c r="C12" s="7"/>
      <c r="D12" s="7"/>
      <c r="E12" s="7"/>
      <c r="F12" s="7"/>
      <c r="G12" s="7"/>
      <c r="H12" s="7"/>
      <c r="I12" s="7"/>
      <c r="J12" s="7"/>
      <c r="K12" s="7"/>
      <c r="L12" s="7"/>
      <c r="M12" s="7"/>
      <c r="N12" s="7"/>
      <c r="O12" s="7"/>
      <c r="P12" s="7"/>
    </row>
    <row r="13" spans="1:16" s="7" customFormat="1" ht="15.6" x14ac:dyDescent="0.3">
      <c r="B13" s="54" t="s">
        <v>8</v>
      </c>
    </row>
    <row r="14" spans="1:16" s="4" customFormat="1" x14ac:dyDescent="0.3">
      <c r="A14" s="7"/>
      <c r="B14" s="7"/>
      <c r="C14" s="7"/>
      <c r="D14" s="7"/>
      <c r="E14" s="7"/>
      <c r="F14" s="7"/>
      <c r="G14" s="7"/>
      <c r="H14" s="7"/>
      <c r="I14" s="7"/>
      <c r="J14" s="7"/>
      <c r="K14" s="7"/>
      <c r="L14" s="7"/>
      <c r="M14" s="7"/>
      <c r="N14" s="7"/>
      <c r="O14" s="7"/>
      <c r="P14" s="7"/>
    </row>
    <row r="15" spans="1:16" s="7" customFormat="1" ht="15.6" x14ac:dyDescent="0.3">
      <c r="B15" s="54" t="s">
        <v>9</v>
      </c>
    </row>
    <row r="16" spans="1:16" s="4" customFormat="1" x14ac:dyDescent="0.3">
      <c r="A16" s="7"/>
      <c r="B16" s="7"/>
      <c r="C16" s="7"/>
      <c r="D16" s="7"/>
      <c r="E16" s="7"/>
      <c r="F16" s="7"/>
      <c r="G16" s="7"/>
      <c r="H16" s="7"/>
      <c r="I16" s="7"/>
      <c r="J16" s="7"/>
      <c r="K16" s="7"/>
      <c r="L16" s="7"/>
      <c r="M16" s="7"/>
      <c r="N16" s="7"/>
      <c r="O16" s="7"/>
      <c r="P16" s="7"/>
    </row>
    <row r="17" spans="1:16" s="7" customFormat="1" ht="15.6" x14ac:dyDescent="0.3">
      <c r="C17" s="54" t="s">
        <v>10</v>
      </c>
    </row>
    <row r="18" spans="1:16" s="7" customFormat="1" ht="15.6" x14ac:dyDescent="0.3">
      <c r="C18" s="54" t="s">
        <v>11</v>
      </c>
    </row>
    <row r="19" spans="1:16" s="7" customFormat="1" ht="15.6" x14ac:dyDescent="0.3">
      <c r="C19" s="54" t="s">
        <v>12</v>
      </c>
    </row>
    <row r="20" spans="1:16" s="4" customFormat="1" x14ac:dyDescent="0.3">
      <c r="A20" s="7"/>
      <c r="B20" s="7"/>
      <c r="C20" s="7"/>
      <c r="D20" s="7"/>
      <c r="E20" s="7"/>
      <c r="F20" s="7"/>
      <c r="G20" s="7"/>
      <c r="H20" s="7"/>
      <c r="I20" s="7"/>
      <c r="J20" s="7"/>
      <c r="K20" s="7"/>
      <c r="L20" s="7"/>
      <c r="M20" s="7"/>
      <c r="N20" s="7"/>
      <c r="O20" s="7"/>
      <c r="P20" s="7"/>
    </row>
    <row r="21" spans="1:16" s="5" customFormat="1" ht="15.6" x14ac:dyDescent="0.3">
      <c r="A21" s="7"/>
      <c r="B21" s="54" t="s">
        <v>13</v>
      </c>
      <c r="C21" s="7"/>
      <c r="D21" s="7"/>
      <c r="E21" s="7"/>
      <c r="F21" s="7"/>
      <c r="G21" s="7"/>
      <c r="H21" s="7"/>
      <c r="I21" s="7"/>
      <c r="J21" s="7"/>
      <c r="K21" s="7"/>
      <c r="L21" s="7"/>
      <c r="M21" s="7"/>
      <c r="N21" s="7"/>
      <c r="O21" s="7"/>
      <c r="P21" s="7"/>
    </row>
    <row r="22" spans="1:16" s="5" customFormat="1" ht="15.6" x14ac:dyDescent="0.3">
      <c r="A22" s="7"/>
      <c r="B22" s="54" t="s">
        <v>14</v>
      </c>
      <c r="C22" s="7"/>
      <c r="D22" s="81" t="s">
        <v>15</v>
      </c>
      <c r="E22" s="81"/>
      <c r="F22" s="81"/>
      <c r="G22" s="7"/>
      <c r="H22" s="7"/>
      <c r="I22" s="7"/>
      <c r="J22" s="7"/>
      <c r="K22" s="7"/>
      <c r="L22" s="7"/>
      <c r="M22" s="7"/>
      <c r="N22" s="7"/>
      <c r="O22" s="7"/>
      <c r="P22" s="7"/>
    </row>
    <row r="23" spans="1:16" s="5" customFormat="1" ht="15.6" x14ac:dyDescent="0.3">
      <c r="A23" s="7"/>
      <c r="B23" s="54" t="s">
        <v>16</v>
      </c>
      <c r="C23" s="7"/>
      <c r="D23" s="81" t="s">
        <v>17</v>
      </c>
      <c r="E23" s="81"/>
      <c r="F23" s="81"/>
      <c r="G23" s="7"/>
      <c r="H23" s="7"/>
      <c r="I23" s="7"/>
      <c r="J23" s="7"/>
      <c r="K23" s="7"/>
      <c r="L23" s="7"/>
      <c r="M23" s="7"/>
      <c r="N23" s="7"/>
      <c r="O23" s="7"/>
      <c r="P23" s="7"/>
    </row>
    <row r="24" spans="1:16" x14ac:dyDescent="0.3">
      <c r="A24" s="9"/>
      <c r="B24" s="9"/>
      <c r="C24" s="9"/>
      <c r="D24" s="9"/>
      <c r="E24" s="9"/>
      <c r="F24" s="9"/>
      <c r="G24" s="9"/>
      <c r="H24" s="9"/>
      <c r="I24" s="9"/>
      <c r="J24" s="9"/>
      <c r="K24" s="9"/>
      <c r="L24" s="9"/>
      <c r="M24" s="9"/>
      <c r="N24" s="9"/>
      <c r="O24" s="9"/>
      <c r="P24" s="9"/>
    </row>
    <row r="25" spans="1:16" ht="15.6" x14ac:dyDescent="0.3">
      <c r="B25" s="53" t="s">
        <v>38</v>
      </c>
    </row>
    <row r="26" spans="1:16" ht="96" customHeight="1" x14ac:dyDescent="0.3">
      <c r="B26" s="80" t="s">
        <v>39</v>
      </c>
      <c r="C26" s="80"/>
      <c r="D26" s="80"/>
      <c r="E26" s="80"/>
      <c r="F26" s="80"/>
      <c r="G26" s="80"/>
      <c r="H26" s="80"/>
      <c r="I26" s="80"/>
      <c r="J26" s="80"/>
      <c r="K26" s="80"/>
      <c r="L26" s="80"/>
      <c r="M26" s="80"/>
      <c r="N26" s="80"/>
      <c r="O26" s="80"/>
    </row>
    <row r="27" spans="1:16" ht="19.5" customHeight="1" x14ac:dyDescent="0.3"/>
  </sheetData>
  <mergeCells count="6">
    <mergeCell ref="B26:O26"/>
    <mergeCell ref="B9:O9"/>
    <mergeCell ref="D22:F22"/>
    <mergeCell ref="D23:F23"/>
    <mergeCell ref="A1:P1"/>
    <mergeCell ref="B3:O3"/>
  </mergeCells>
  <hyperlinks>
    <hyperlink ref="D22" r:id="rId1" xr:uid="{276BCC1B-DD3B-4296-8EA3-D62E799F6611}"/>
    <hyperlink ref="D23" r:id="rId2" xr:uid="{B7511B85-C317-43E7-A4AC-2CB72F0669B5}"/>
  </hyperlinks>
  <pageMargins left="0.7" right="0.7" top="0.75" bottom="0.75" header="0.3" footer="0.3"/>
  <pageSetup paperSize="9" orientation="portrait" verticalDpi="0"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51AF3C-B787-4446-9138-0B67DB45B006}">
  <dimension ref="A1:AK107"/>
  <sheetViews>
    <sheetView showGridLines="0" showRowColHeaders="0" tabSelected="1" workbookViewId="0">
      <selection activeCell="B7" sqref="B7:S7"/>
    </sheetView>
  </sheetViews>
  <sheetFormatPr baseColWidth="10" defaultColWidth="0" defaultRowHeight="15.6" zeroHeight="1" x14ac:dyDescent="0.3"/>
  <cols>
    <col min="1" max="1" width="3.6640625" style="1" customWidth="1"/>
    <col min="2" max="2" width="12.6640625" style="3" customWidth="1"/>
    <col min="3" max="18" width="3.6640625" style="1" customWidth="1"/>
    <col min="19" max="19" width="11.109375" style="1" bestFit="1" customWidth="1"/>
    <col min="20" max="36" width="9.109375" style="1" customWidth="1"/>
    <col min="37" max="37" width="3.6640625" style="1" customWidth="1"/>
    <col min="38" max="16384" width="9.109375" style="1" hidden="1"/>
  </cols>
  <sheetData>
    <row r="1" spans="1:37" x14ac:dyDescent="0.3"/>
    <row r="2" spans="1:37" ht="15.75" customHeight="1" x14ac:dyDescent="0.3">
      <c r="A2" s="86" t="s">
        <v>20</v>
      </c>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86"/>
      <c r="AE2" s="86"/>
      <c r="AF2" s="86"/>
      <c r="AG2" s="86"/>
      <c r="AH2" s="86"/>
      <c r="AI2" s="86"/>
      <c r="AJ2" s="86"/>
      <c r="AK2" s="86"/>
    </row>
    <row r="3" spans="1:37" ht="15.75" customHeight="1" thickBot="1" x14ac:dyDescent="0.35">
      <c r="A3" s="13"/>
      <c r="B3" s="13"/>
      <c r="C3" s="13"/>
      <c r="D3" s="13"/>
      <c r="E3" s="13"/>
      <c r="F3" s="13"/>
      <c r="G3" s="13"/>
      <c r="H3" s="13"/>
      <c r="I3" s="13"/>
      <c r="J3" s="13"/>
      <c r="K3" s="13"/>
      <c r="L3" s="13"/>
      <c r="M3" s="13"/>
      <c r="N3" s="13"/>
      <c r="O3" s="13"/>
      <c r="P3" s="13"/>
      <c r="Q3" s="13"/>
      <c r="R3" s="13"/>
      <c r="S3" s="13"/>
      <c r="T3" s="13"/>
      <c r="U3" s="13"/>
      <c r="V3" s="13"/>
      <c r="W3" s="13"/>
      <c r="X3" s="13"/>
      <c r="Y3" s="13"/>
      <c r="Z3" s="13"/>
      <c r="AA3" s="13"/>
      <c r="AB3" s="13"/>
      <c r="AC3" s="13"/>
      <c r="AD3" s="13"/>
      <c r="AE3" s="13"/>
      <c r="AF3" s="13"/>
      <c r="AG3" s="13"/>
      <c r="AH3" s="13"/>
      <c r="AI3" s="13"/>
      <c r="AJ3" s="13"/>
      <c r="AK3" s="13"/>
    </row>
    <row r="4" spans="1:37" ht="19.5" customHeight="1" thickTop="1" thickBot="1" x14ac:dyDescent="0.35">
      <c r="B4" s="1"/>
      <c r="G4" s="90" t="s">
        <v>25</v>
      </c>
      <c r="H4" s="90"/>
      <c r="I4" s="90"/>
      <c r="J4" s="90"/>
      <c r="K4" s="90"/>
      <c r="L4" s="90"/>
      <c r="M4" s="87" t="s">
        <v>40</v>
      </c>
      <c r="N4" s="88"/>
      <c r="O4" s="88"/>
      <c r="P4" s="88"/>
      <c r="Q4" s="88"/>
      <c r="R4" s="88"/>
      <c r="S4" s="89"/>
    </row>
    <row r="5" spans="1:37" ht="16.2" thickTop="1" x14ac:dyDescent="0.3">
      <c r="B5" s="10" t="s">
        <v>3</v>
      </c>
      <c r="C5" s="11">
        <v>1</v>
      </c>
      <c r="D5" s="11">
        <v>2</v>
      </c>
      <c r="E5" s="11">
        <v>3</v>
      </c>
      <c r="F5" s="11">
        <v>4</v>
      </c>
      <c r="G5" s="11">
        <v>5</v>
      </c>
      <c r="H5" s="11">
        <v>6</v>
      </c>
      <c r="I5" s="11">
        <v>7</v>
      </c>
      <c r="J5" s="11">
        <v>8</v>
      </c>
      <c r="K5" s="11">
        <v>9</v>
      </c>
      <c r="L5" s="11">
        <v>10</v>
      </c>
      <c r="M5" s="12">
        <v>11</v>
      </c>
      <c r="N5" s="12">
        <v>12</v>
      </c>
      <c r="O5" s="12">
        <v>13</v>
      </c>
      <c r="P5" s="12">
        <v>14</v>
      </c>
      <c r="Q5" s="12">
        <v>15</v>
      </c>
      <c r="R5" s="12">
        <v>16</v>
      </c>
      <c r="S5" s="84" t="s">
        <v>26</v>
      </c>
    </row>
    <row r="6" spans="1:37" ht="15.75" customHeight="1" x14ac:dyDescent="0.3">
      <c r="B6" s="11" t="s">
        <v>4</v>
      </c>
      <c r="C6" s="83" t="s">
        <v>5</v>
      </c>
      <c r="D6" s="83"/>
      <c r="E6" s="83"/>
      <c r="F6" s="83"/>
      <c r="G6" s="83"/>
      <c r="H6" s="83"/>
      <c r="I6" s="83"/>
      <c r="J6" s="83"/>
      <c r="K6" s="83"/>
      <c r="L6" s="83"/>
      <c r="M6" s="83"/>
      <c r="N6" s="83"/>
      <c r="O6" s="83"/>
      <c r="P6" s="83"/>
      <c r="Q6" s="83"/>
      <c r="R6" s="83"/>
      <c r="S6" s="85"/>
      <c r="U6" s="71" t="s">
        <v>23</v>
      </c>
      <c r="V6" s="71"/>
      <c r="W6" s="71"/>
      <c r="X6" s="71"/>
      <c r="Y6" s="71"/>
      <c r="Z6" s="71"/>
      <c r="AA6" s="71"/>
      <c r="AB6" s="71"/>
      <c r="AC6" s="71"/>
      <c r="AD6" s="71"/>
      <c r="AE6" s="71"/>
      <c r="AF6" s="71"/>
      <c r="AG6" s="71"/>
      <c r="AH6" s="71"/>
      <c r="AI6" s="71"/>
      <c r="AJ6" s="71"/>
    </row>
    <row r="7" spans="1:37" ht="19.5" customHeight="1" x14ac:dyDescent="0.3">
      <c r="B7" s="55">
        <v>1</v>
      </c>
      <c r="C7" s="56">
        <v>3</v>
      </c>
      <c r="D7" s="56">
        <v>4</v>
      </c>
      <c r="E7" s="56">
        <v>3</v>
      </c>
      <c r="F7" s="56">
        <v>3</v>
      </c>
      <c r="G7" s="56">
        <v>2</v>
      </c>
      <c r="H7" s="56">
        <v>4</v>
      </c>
      <c r="I7" s="56">
        <v>4</v>
      </c>
      <c r="J7" s="56">
        <v>2</v>
      </c>
      <c r="K7" s="56">
        <v>3</v>
      </c>
      <c r="L7" s="56">
        <v>4</v>
      </c>
      <c r="M7" s="56">
        <v>3</v>
      </c>
      <c r="N7" s="56">
        <v>2</v>
      </c>
      <c r="O7" s="56">
        <v>3</v>
      </c>
      <c r="P7" s="56">
        <v>4</v>
      </c>
      <c r="Q7" s="56">
        <v>4</v>
      </c>
      <c r="R7" s="56">
        <v>3</v>
      </c>
      <c r="S7" s="57">
        <f>((((C7+E7+G7+I7+K7+M7+O7+Q7)-8)+(40-(D7+F7+H7+J7+L7+N7+P7+R7)))/64)*100</f>
        <v>48.4375</v>
      </c>
      <c r="U7" s="71"/>
      <c r="V7" s="71"/>
      <c r="W7" s="71"/>
      <c r="X7" s="71"/>
      <c r="Y7" s="71"/>
      <c r="Z7" s="71"/>
      <c r="AA7" s="71"/>
      <c r="AB7" s="71"/>
      <c r="AC7" s="71"/>
      <c r="AD7" s="71"/>
      <c r="AE7" s="71"/>
      <c r="AF7" s="71"/>
      <c r="AG7" s="71"/>
      <c r="AH7" s="71"/>
      <c r="AI7" s="71"/>
      <c r="AJ7" s="71"/>
    </row>
    <row r="8" spans="1:37" ht="19.5" customHeight="1" x14ac:dyDescent="0.3">
      <c r="B8" s="55">
        <v>2</v>
      </c>
      <c r="C8" s="56">
        <v>4</v>
      </c>
      <c r="D8" s="56">
        <v>4</v>
      </c>
      <c r="E8" s="56">
        <v>5</v>
      </c>
      <c r="F8" s="56">
        <v>1</v>
      </c>
      <c r="G8" s="56">
        <v>2</v>
      </c>
      <c r="H8" s="56">
        <v>1</v>
      </c>
      <c r="I8" s="56">
        <v>5</v>
      </c>
      <c r="J8" s="56">
        <v>1</v>
      </c>
      <c r="K8" s="56">
        <v>5</v>
      </c>
      <c r="L8" s="56">
        <v>5</v>
      </c>
      <c r="M8" s="56">
        <v>5</v>
      </c>
      <c r="N8" s="56">
        <v>1</v>
      </c>
      <c r="O8" s="56">
        <v>4</v>
      </c>
      <c r="P8" s="56">
        <v>1</v>
      </c>
      <c r="Q8" s="56">
        <v>5</v>
      </c>
      <c r="R8" s="56">
        <v>1</v>
      </c>
      <c r="S8" s="57">
        <f t="shared" ref="S8:S26" si="0">((((C8+E8+G8+I8+K8+M8+O8+Q8)-8)+(40-(D8+F8+H8+J8+L8+N8+P8+R8)))/64)*100</f>
        <v>81.25</v>
      </c>
      <c r="U8" s="71"/>
      <c r="V8" s="71"/>
      <c r="W8" s="71"/>
      <c r="X8" s="71"/>
      <c r="Y8" s="71"/>
      <c r="Z8" s="71"/>
      <c r="AA8" s="71"/>
      <c r="AB8" s="71"/>
      <c r="AC8" s="71"/>
      <c r="AD8" s="71"/>
      <c r="AE8" s="71"/>
      <c r="AF8" s="71"/>
      <c r="AG8" s="71"/>
      <c r="AH8" s="71"/>
      <c r="AI8" s="71"/>
      <c r="AJ8" s="71"/>
    </row>
    <row r="9" spans="1:37" ht="19.5" customHeight="1" x14ac:dyDescent="0.3">
      <c r="B9" s="55">
        <v>3</v>
      </c>
      <c r="C9" s="56">
        <v>5</v>
      </c>
      <c r="D9" s="56">
        <v>2</v>
      </c>
      <c r="E9" s="56">
        <v>5</v>
      </c>
      <c r="F9" s="56">
        <v>2</v>
      </c>
      <c r="G9" s="56">
        <v>4</v>
      </c>
      <c r="H9" s="56">
        <v>4</v>
      </c>
      <c r="I9" s="56">
        <v>5</v>
      </c>
      <c r="J9" s="56">
        <v>5</v>
      </c>
      <c r="K9" s="56">
        <v>4</v>
      </c>
      <c r="L9" s="56">
        <v>1</v>
      </c>
      <c r="M9" s="56">
        <v>5</v>
      </c>
      <c r="N9" s="56">
        <v>1</v>
      </c>
      <c r="O9" s="56">
        <v>4</v>
      </c>
      <c r="P9" s="56">
        <v>1</v>
      </c>
      <c r="Q9" s="56">
        <v>5</v>
      </c>
      <c r="R9" s="56">
        <v>1</v>
      </c>
      <c r="S9" s="57">
        <f t="shared" si="0"/>
        <v>81.25</v>
      </c>
      <c r="U9" s="71"/>
      <c r="V9" s="71"/>
      <c r="W9" s="71"/>
      <c r="X9" s="71"/>
      <c r="Y9" s="71"/>
      <c r="Z9" s="71"/>
      <c r="AA9" s="71"/>
      <c r="AB9" s="71"/>
      <c r="AC9" s="71"/>
      <c r="AD9" s="71"/>
      <c r="AE9" s="71"/>
      <c r="AF9" s="71"/>
      <c r="AG9" s="71"/>
      <c r="AH9" s="71"/>
      <c r="AI9" s="71"/>
      <c r="AJ9" s="71"/>
    </row>
    <row r="10" spans="1:37" ht="19.5" customHeight="1" x14ac:dyDescent="0.3">
      <c r="B10" s="55">
        <v>4</v>
      </c>
      <c r="C10" s="56">
        <v>4</v>
      </c>
      <c r="D10" s="56">
        <v>2</v>
      </c>
      <c r="E10" s="56">
        <v>4</v>
      </c>
      <c r="F10" s="56">
        <v>1</v>
      </c>
      <c r="G10" s="56">
        <v>4</v>
      </c>
      <c r="H10" s="56">
        <v>1</v>
      </c>
      <c r="I10" s="56">
        <v>5</v>
      </c>
      <c r="J10" s="56">
        <v>1</v>
      </c>
      <c r="K10" s="56">
        <v>4</v>
      </c>
      <c r="L10" s="56">
        <v>1</v>
      </c>
      <c r="M10" s="56">
        <v>4</v>
      </c>
      <c r="N10" s="56">
        <v>1</v>
      </c>
      <c r="O10" s="56">
        <v>4</v>
      </c>
      <c r="P10" s="56">
        <v>1</v>
      </c>
      <c r="Q10" s="56">
        <v>5</v>
      </c>
      <c r="R10" s="56">
        <v>1</v>
      </c>
      <c r="S10" s="57">
        <f t="shared" si="0"/>
        <v>89.0625</v>
      </c>
      <c r="U10" s="14"/>
      <c r="V10" s="14"/>
      <c r="W10" s="14"/>
      <c r="X10" s="14"/>
      <c r="Y10" s="14"/>
      <c r="Z10" s="14"/>
      <c r="AA10" s="14"/>
      <c r="AB10" s="14"/>
      <c r="AC10" s="14"/>
      <c r="AD10" s="14"/>
      <c r="AE10" s="14"/>
      <c r="AF10" s="14"/>
      <c r="AG10" s="14"/>
      <c r="AH10" s="14"/>
    </row>
    <row r="11" spans="1:37" ht="19.5" customHeight="1" x14ac:dyDescent="0.3">
      <c r="B11" s="58">
        <v>5</v>
      </c>
      <c r="C11" s="56">
        <v>2</v>
      </c>
      <c r="D11" s="56">
        <v>5</v>
      </c>
      <c r="E11" s="56">
        <v>3</v>
      </c>
      <c r="F11" s="56">
        <v>3</v>
      </c>
      <c r="G11" s="56">
        <v>3</v>
      </c>
      <c r="H11" s="56">
        <v>5</v>
      </c>
      <c r="I11" s="56">
        <v>4</v>
      </c>
      <c r="J11" s="56">
        <v>1</v>
      </c>
      <c r="K11" s="56">
        <v>5</v>
      </c>
      <c r="L11" s="56">
        <v>1</v>
      </c>
      <c r="M11" s="56">
        <v>3</v>
      </c>
      <c r="N11" s="56">
        <v>3</v>
      </c>
      <c r="O11" s="56">
        <v>2</v>
      </c>
      <c r="P11" s="56">
        <v>3</v>
      </c>
      <c r="Q11" s="56">
        <v>4</v>
      </c>
      <c r="R11" s="56">
        <v>1</v>
      </c>
      <c r="S11" s="57">
        <f t="shared" si="0"/>
        <v>56.25</v>
      </c>
      <c r="U11" s="14"/>
      <c r="V11" s="14"/>
      <c r="W11" s="14"/>
      <c r="X11" s="14"/>
      <c r="Y11" s="14"/>
      <c r="Z11" s="14"/>
      <c r="AA11" s="14"/>
      <c r="AB11" s="14"/>
      <c r="AC11" s="14"/>
      <c r="AD11" s="14"/>
      <c r="AE11" s="14"/>
      <c r="AF11" s="14"/>
      <c r="AG11" s="14"/>
      <c r="AH11" s="14"/>
    </row>
    <row r="12" spans="1:37" ht="19.5" customHeight="1" x14ac:dyDescent="0.3">
      <c r="B12" s="55">
        <v>6</v>
      </c>
      <c r="C12" s="56">
        <v>5</v>
      </c>
      <c r="D12" s="56">
        <v>1</v>
      </c>
      <c r="E12" s="56">
        <v>5</v>
      </c>
      <c r="F12" s="56">
        <v>1</v>
      </c>
      <c r="G12" s="56">
        <v>1</v>
      </c>
      <c r="H12" s="56">
        <v>4</v>
      </c>
      <c r="I12" s="56">
        <v>5</v>
      </c>
      <c r="J12" s="56">
        <v>1</v>
      </c>
      <c r="K12" s="56">
        <v>4</v>
      </c>
      <c r="L12" s="56">
        <v>1</v>
      </c>
      <c r="M12" s="56">
        <v>5</v>
      </c>
      <c r="N12" s="56">
        <v>1</v>
      </c>
      <c r="O12" s="56">
        <v>5</v>
      </c>
      <c r="P12" s="56">
        <v>1</v>
      </c>
      <c r="Q12" s="56">
        <v>5</v>
      </c>
      <c r="R12" s="56">
        <v>1</v>
      </c>
      <c r="S12" s="57">
        <f t="shared" si="0"/>
        <v>87.5</v>
      </c>
    </row>
    <row r="13" spans="1:37" ht="19.5" customHeight="1" x14ac:dyDescent="0.3">
      <c r="B13" s="55">
        <v>7</v>
      </c>
      <c r="C13" s="56">
        <v>4</v>
      </c>
      <c r="D13" s="56">
        <v>2</v>
      </c>
      <c r="E13" s="56">
        <v>4</v>
      </c>
      <c r="F13" s="56">
        <v>1</v>
      </c>
      <c r="G13" s="56">
        <v>5</v>
      </c>
      <c r="H13" s="56">
        <v>1</v>
      </c>
      <c r="I13" s="56">
        <v>5</v>
      </c>
      <c r="J13" s="56">
        <v>1</v>
      </c>
      <c r="K13" s="56">
        <v>5</v>
      </c>
      <c r="L13" s="56">
        <v>1</v>
      </c>
      <c r="M13" s="56">
        <v>5</v>
      </c>
      <c r="N13" s="56">
        <v>1</v>
      </c>
      <c r="O13" s="56">
        <v>4</v>
      </c>
      <c r="P13" s="56">
        <v>1</v>
      </c>
      <c r="Q13" s="56">
        <v>5</v>
      </c>
      <c r="R13" s="56">
        <v>1</v>
      </c>
      <c r="S13" s="57">
        <f t="shared" si="0"/>
        <v>93.75</v>
      </c>
    </row>
    <row r="14" spans="1:37" ht="19.5" customHeight="1" x14ac:dyDescent="0.3">
      <c r="B14" s="55">
        <v>8</v>
      </c>
      <c r="C14" s="56">
        <v>3</v>
      </c>
      <c r="D14" s="56">
        <v>2</v>
      </c>
      <c r="E14" s="56">
        <v>4</v>
      </c>
      <c r="F14" s="56">
        <v>2</v>
      </c>
      <c r="G14" s="56">
        <v>3</v>
      </c>
      <c r="H14" s="56">
        <v>3</v>
      </c>
      <c r="I14" s="56">
        <v>4</v>
      </c>
      <c r="J14" s="56">
        <v>3</v>
      </c>
      <c r="K14" s="56">
        <v>4</v>
      </c>
      <c r="L14" s="56">
        <v>3</v>
      </c>
      <c r="M14" s="56">
        <v>3</v>
      </c>
      <c r="N14" s="56">
        <v>3</v>
      </c>
      <c r="O14" s="56"/>
      <c r="P14" s="56"/>
      <c r="Q14" s="56">
        <v>4</v>
      </c>
      <c r="R14" s="56">
        <v>2</v>
      </c>
      <c r="S14" s="57">
        <f t="shared" si="0"/>
        <v>60.9375</v>
      </c>
    </row>
    <row r="15" spans="1:37" ht="19.5" customHeight="1" x14ac:dyDescent="0.3">
      <c r="B15" s="55">
        <v>9</v>
      </c>
      <c r="C15" s="56">
        <v>5</v>
      </c>
      <c r="D15" s="56">
        <v>5</v>
      </c>
      <c r="E15" s="56">
        <v>5</v>
      </c>
      <c r="F15" s="56">
        <v>5</v>
      </c>
      <c r="G15" s="56">
        <v>5</v>
      </c>
      <c r="H15" s="56">
        <v>5</v>
      </c>
      <c r="I15" s="56">
        <v>5</v>
      </c>
      <c r="J15" s="56">
        <v>1</v>
      </c>
      <c r="K15" s="56">
        <v>5</v>
      </c>
      <c r="L15" s="56">
        <v>1</v>
      </c>
      <c r="M15" s="56">
        <v>5</v>
      </c>
      <c r="N15" s="56">
        <v>1</v>
      </c>
      <c r="O15" s="56">
        <v>5</v>
      </c>
      <c r="P15" s="56">
        <v>1</v>
      </c>
      <c r="Q15" s="56">
        <v>5</v>
      </c>
      <c r="R15" s="56">
        <v>1</v>
      </c>
      <c r="S15" s="57">
        <f t="shared" si="0"/>
        <v>81.25</v>
      </c>
    </row>
    <row r="16" spans="1:37" ht="19.5" customHeight="1" x14ac:dyDescent="0.3">
      <c r="B16" s="55">
        <v>10</v>
      </c>
      <c r="C16" s="56">
        <v>4</v>
      </c>
      <c r="D16" s="56">
        <v>2</v>
      </c>
      <c r="E16" s="56">
        <v>5</v>
      </c>
      <c r="F16" s="56">
        <v>2</v>
      </c>
      <c r="G16" s="56">
        <v>4</v>
      </c>
      <c r="H16" s="56">
        <v>2</v>
      </c>
      <c r="I16" s="56">
        <v>5</v>
      </c>
      <c r="J16" s="56">
        <v>1</v>
      </c>
      <c r="K16" s="56">
        <v>4</v>
      </c>
      <c r="L16" s="56">
        <v>1</v>
      </c>
      <c r="M16" s="56">
        <v>5</v>
      </c>
      <c r="N16" s="56">
        <v>1</v>
      </c>
      <c r="O16" s="56">
        <v>4</v>
      </c>
      <c r="P16" s="56">
        <v>1</v>
      </c>
      <c r="Q16" s="56">
        <v>5</v>
      </c>
      <c r="R16" s="56">
        <v>2</v>
      </c>
      <c r="S16" s="57">
        <f t="shared" si="0"/>
        <v>87.5</v>
      </c>
    </row>
    <row r="17" spans="2:19" ht="19.5" customHeight="1" x14ac:dyDescent="0.3">
      <c r="B17" s="55">
        <v>11</v>
      </c>
      <c r="C17" s="56">
        <v>5</v>
      </c>
      <c r="D17" s="56">
        <v>1</v>
      </c>
      <c r="E17" s="56">
        <v>5</v>
      </c>
      <c r="F17" s="56">
        <v>1</v>
      </c>
      <c r="G17" s="56">
        <v>4</v>
      </c>
      <c r="H17" s="56">
        <v>1</v>
      </c>
      <c r="I17" s="56">
        <v>5</v>
      </c>
      <c r="J17" s="56">
        <v>2</v>
      </c>
      <c r="K17" s="56">
        <v>2</v>
      </c>
      <c r="L17" s="56">
        <v>1</v>
      </c>
      <c r="M17" s="56">
        <v>4</v>
      </c>
      <c r="N17" s="56">
        <v>1</v>
      </c>
      <c r="O17" s="56">
        <v>4</v>
      </c>
      <c r="P17" s="56">
        <v>1</v>
      </c>
      <c r="Q17" s="56">
        <v>5</v>
      </c>
      <c r="R17" s="56">
        <v>1</v>
      </c>
      <c r="S17" s="57">
        <f t="shared" si="0"/>
        <v>89.0625</v>
      </c>
    </row>
    <row r="18" spans="2:19" ht="19.5" customHeight="1" x14ac:dyDescent="0.3">
      <c r="B18" s="55">
        <v>12</v>
      </c>
      <c r="C18" s="56">
        <v>3</v>
      </c>
      <c r="D18" s="56">
        <v>3</v>
      </c>
      <c r="E18" s="56">
        <v>4</v>
      </c>
      <c r="F18" s="56">
        <v>2</v>
      </c>
      <c r="G18" s="56">
        <v>5</v>
      </c>
      <c r="H18" s="56">
        <v>2</v>
      </c>
      <c r="I18" s="56">
        <v>5</v>
      </c>
      <c r="J18" s="56">
        <v>3</v>
      </c>
      <c r="K18" s="56">
        <v>5</v>
      </c>
      <c r="L18" s="56">
        <v>2</v>
      </c>
      <c r="M18" s="56">
        <v>4</v>
      </c>
      <c r="N18" s="56">
        <v>1</v>
      </c>
      <c r="O18" s="56">
        <v>4</v>
      </c>
      <c r="P18" s="56">
        <v>1</v>
      </c>
      <c r="Q18" s="56">
        <v>5</v>
      </c>
      <c r="R18" s="56">
        <v>3</v>
      </c>
      <c r="S18" s="57">
        <f t="shared" si="0"/>
        <v>78.125</v>
      </c>
    </row>
    <row r="19" spans="2:19" ht="19.5" customHeight="1" x14ac:dyDescent="0.3">
      <c r="B19" s="55">
        <v>13</v>
      </c>
      <c r="C19" s="56">
        <v>3</v>
      </c>
      <c r="D19" s="56">
        <v>4</v>
      </c>
      <c r="E19" s="56">
        <v>4</v>
      </c>
      <c r="F19" s="56">
        <v>1</v>
      </c>
      <c r="G19" s="56">
        <v>4</v>
      </c>
      <c r="H19" s="56">
        <v>1</v>
      </c>
      <c r="I19" s="56">
        <v>5</v>
      </c>
      <c r="J19" s="56">
        <v>1</v>
      </c>
      <c r="K19" s="56">
        <v>4</v>
      </c>
      <c r="L19" s="56">
        <v>2</v>
      </c>
      <c r="M19" s="56">
        <v>4</v>
      </c>
      <c r="N19" s="56">
        <v>1</v>
      </c>
      <c r="O19" s="56">
        <v>4</v>
      </c>
      <c r="P19" s="56">
        <v>1</v>
      </c>
      <c r="Q19" s="56">
        <v>5</v>
      </c>
      <c r="R19" s="56">
        <v>1</v>
      </c>
      <c r="S19" s="57">
        <f t="shared" si="0"/>
        <v>82.8125</v>
      </c>
    </row>
    <row r="20" spans="2:19" ht="19.5" customHeight="1" x14ac:dyDescent="0.3">
      <c r="B20" s="55">
        <v>14</v>
      </c>
      <c r="C20" s="56">
        <v>5</v>
      </c>
      <c r="D20" s="56">
        <v>5</v>
      </c>
      <c r="E20" s="56">
        <v>5</v>
      </c>
      <c r="F20" s="56">
        <v>5</v>
      </c>
      <c r="G20" s="56">
        <v>4</v>
      </c>
      <c r="H20" s="56">
        <v>5</v>
      </c>
      <c r="I20" s="56">
        <v>5</v>
      </c>
      <c r="J20" s="56">
        <v>1</v>
      </c>
      <c r="K20" s="56">
        <v>5</v>
      </c>
      <c r="L20" s="56">
        <v>1</v>
      </c>
      <c r="M20" s="56">
        <v>5</v>
      </c>
      <c r="N20" s="56">
        <v>1</v>
      </c>
      <c r="O20" s="56">
        <v>5</v>
      </c>
      <c r="P20" s="56">
        <v>1</v>
      </c>
      <c r="Q20" s="56">
        <v>5</v>
      </c>
      <c r="R20" s="56">
        <v>1</v>
      </c>
      <c r="S20" s="57">
        <f t="shared" si="0"/>
        <v>79.6875</v>
      </c>
    </row>
    <row r="21" spans="2:19" ht="19.5" customHeight="1" x14ac:dyDescent="0.3">
      <c r="B21" s="55">
        <v>15</v>
      </c>
      <c r="C21" s="56">
        <v>5</v>
      </c>
      <c r="D21" s="56">
        <v>1</v>
      </c>
      <c r="E21" s="56">
        <v>4</v>
      </c>
      <c r="F21" s="56">
        <v>1</v>
      </c>
      <c r="G21" s="56">
        <v>5</v>
      </c>
      <c r="H21" s="56">
        <v>1</v>
      </c>
      <c r="I21" s="56">
        <v>5</v>
      </c>
      <c r="J21" s="56">
        <v>1</v>
      </c>
      <c r="K21" s="56">
        <v>5</v>
      </c>
      <c r="L21" s="56">
        <v>1</v>
      </c>
      <c r="M21" s="56">
        <v>5</v>
      </c>
      <c r="N21" s="56">
        <v>1</v>
      </c>
      <c r="O21" s="56">
        <v>5</v>
      </c>
      <c r="P21" s="56">
        <v>1</v>
      </c>
      <c r="Q21" s="56">
        <v>5</v>
      </c>
      <c r="R21" s="56">
        <v>1</v>
      </c>
      <c r="S21" s="57">
        <f t="shared" si="0"/>
        <v>98.4375</v>
      </c>
    </row>
    <row r="22" spans="2:19" ht="19.5" customHeight="1" x14ac:dyDescent="0.3">
      <c r="B22" s="55">
        <v>16</v>
      </c>
      <c r="C22" s="56">
        <v>4</v>
      </c>
      <c r="D22" s="56">
        <v>3</v>
      </c>
      <c r="E22" s="56">
        <v>4</v>
      </c>
      <c r="F22" s="56">
        <v>3</v>
      </c>
      <c r="G22" s="56">
        <v>5</v>
      </c>
      <c r="H22" s="56">
        <v>1</v>
      </c>
      <c r="I22" s="56">
        <v>4</v>
      </c>
      <c r="J22" s="56">
        <v>2</v>
      </c>
      <c r="K22" s="56">
        <v>2</v>
      </c>
      <c r="L22" s="56">
        <v>2</v>
      </c>
      <c r="M22" s="56">
        <v>4</v>
      </c>
      <c r="N22" s="56">
        <v>1</v>
      </c>
      <c r="O22" s="56">
        <v>3</v>
      </c>
      <c r="P22" s="56">
        <v>3</v>
      </c>
      <c r="Q22" s="56">
        <v>4</v>
      </c>
      <c r="R22" s="56">
        <v>2</v>
      </c>
      <c r="S22" s="57">
        <f t="shared" si="0"/>
        <v>70.3125</v>
      </c>
    </row>
    <row r="23" spans="2:19" ht="19.5" customHeight="1" x14ac:dyDescent="0.3">
      <c r="B23" s="55">
        <v>17</v>
      </c>
      <c r="C23" s="56">
        <v>5</v>
      </c>
      <c r="D23" s="56">
        <v>2</v>
      </c>
      <c r="E23" s="56">
        <v>5</v>
      </c>
      <c r="F23" s="56">
        <v>1</v>
      </c>
      <c r="G23" s="56">
        <v>4</v>
      </c>
      <c r="H23" s="56">
        <v>1</v>
      </c>
      <c r="I23" s="56">
        <v>5</v>
      </c>
      <c r="J23" s="56">
        <v>1</v>
      </c>
      <c r="K23" s="56">
        <v>5</v>
      </c>
      <c r="L23" s="56">
        <v>1</v>
      </c>
      <c r="M23" s="56">
        <v>5</v>
      </c>
      <c r="N23" s="56">
        <v>1</v>
      </c>
      <c r="O23" s="56">
        <v>5</v>
      </c>
      <c r="P23" s="56">
        <v>1</v>
      </c>
      <c r="Q23" s="56">
        <v>5</v>
      </c>
      <c r="R23" s="56">
        <v>1</v>
      </c>
      <c r="S23" s="57">
        <f t="shared" si="0"/>
        <v>96.875</v>
      </c>
    </row>
    <row r="24" spans="2:19" ht="19.5" customHeight="1" x14ac:dyDescent="0.3">
      <c r="B24" s="55">
        <v>18</v>
      </c>
      <c r="C24" s="56">
        <v>5</v>
      </c>
      <c r="D24" s="56">
        <v>1</v>
      </c>
      <c r="E24" s="56">
        <v>5</v>
      </c>
      <c r="F24" s="56">
        <v>1</v>
      </c>
      <c r="G24" s="56">
        <v>5</v>
      </c>
      <c r="H24" s="56">
        <v>3</v>
      </c>
      <c r="I24" s="56">
        <v>3</v>
      </c>
      <c r="J24" s="56">
        <v>2</v>
      </c>
      <c r="K24" s="56">
        <v>4</v>
      </c>
      <c r="L24" s="56">
        <v>3</v>
      </c>
      <c r="M24" s="56">
        <v>5</v>
      </c>
      <c r="N24" s="56">
        <v>1</v>
      </c>
      <c r="O24" s="56">
        <v>5</v>
      </c>
      <c r="P24" s="56">
        <v>1</v>
      </c>
      <c r="Q24" s="56">
        <v>4</v>
      </c>
      <c r="R24" s="56">
        <v>1</v>
      </c>
      <c r="S24" s="57">
        <f t="shared" si="0"/>
        <v>85.9375</v>
      </c>
    </row>
    <row r="25" spans="2:19" ht="19.5" customHeight="1" x14ac:dyDescent="0.3">
      <c r="B25" s="55">
        <v>19</v>
      </c>
      <c r="C25" s="56">
        <v>4</v>
      </c>
      <c r="D25" s="56">
        <v>3</v>
      </c>
      <c r="E25" s="56">
        <v>5</v>
      </c>
      <c r="F25" s="56">
        <v>1</v>
      </c>
      <c r="G25" s="56">
        <v>3</v>
      </c>
      <c r="H25" s="56">
        <v>4</v>
      </c>
      <c r="I25" s="56">
        <v>4</v>
      </c>
      <c r="J25" s="56">
        <v>4</v>
      </c>
      <c r="K25" s="56">
        <v>3</v>
      </c>
      <c r="L25" s="56">
        <v>4</v>
      </c>
      <c r="M25" s="56">
        <v>4</v>
      </c>
      <c r="N25" s="56">
        <v>2</v>
      </c>
      <c r="O25" s="56">
        <v>4</v>
      </c>
      <c r="P25" s="56">
        <v>2</v>
      </c>
      <c r="Q25" s="56">
        <v>5</v>
      </c>
      <c r="R25" s="56">
        <v>2</v>
      </c>
      <c r="S25" s="57">
        <f t="shared" si="0"/>
        <v>65.625</v>
      </c>
    </row>
    <row r="26" spans="2:19" ht="19.5" customHeight="1" x14ac:dyDescent="0.3">
      <c r="B26" s="55">
        <v>20</v>
      </c>
      <c r="C26" s="56">
        <v>3</v>
      </c>
      <c r="D26" s="56">
        <v>3</v>
      </c>
      <c r="E26" s="56">
        <v>3</v>
      </c>
      <c r="F26" s="56">
        <v>3</v>
      </c>
      <c r="G26" s="56">
        <v>5</v>
      </c>
      <c r="H26" s="56"/>
      <c r="I26" s="56">
        <v>5</v>
      </c>
      <c r="J26" s="56">
        <v>5</v>
      </c>
      <c r="K26" s="56">
        <v>5</v>
      </c>
      <c r="L26" s="56">
        <v>3</v>
      </c>
      <c r="M26" s="56">
        <v>4</v>
      </c>
      <c r="N26" s="56">
        <v>1</v>
      </c>
      <c r="O26" s="56">
        <v>4</v>
      </c>
      <c r="P26" s="56">
        <v>3</v>
      </c>
      <c r="Q26" s="56">
        <v>5</v>
      </c>
      <c r="R26" s="56">
        <v>1</v>
      </c>
      <c r="S26" s="57">
        <f t="shared" si="0"/>
        <v>73.4375</v>
      </c>
    </row>
    <row r="27" spans="2:19" ht="19.5" customHeight="1" x14ac:dyDescent="0.3">
      <c r="C27" s="15"/>
      <c r="D27" s="15"/>
      <c r="E27" s="15"/>
      <c r="F27" s="15"/>
      <c r="G27" s="15"/>
      <c r="H27" s="15"/>
      <c r="I27" s="15"/>
      <c r="J27" s="15"/>
      <c r="K27" s="15"/>
      <c r="L27" s="15"/>
      <c r="M27" s="15"/>
      <c r="N27" s="15"/>
      <c r="O27" s="15"/>
      <c r="P27" s="15"/>
      <c r="Q27" s="15"/>
      <c r="R27" s="15"/>
    </row>
    <row r="28" spans="2:19" ht="19.5" customHeight="1" x14ac:dyDescent="0.3"/>
    <row r="29" spans="2:19" ht="19.5" customHeight="1" x14ac:dyDescent="0.3"/>
    <row r="30" spans="2:19" ht="19.5" customHeight="1" x14ac:dyDescent="0.3"/>
    <row r="31" spans="2:19" ht="19.5" customHeight="1" x14ac:dyDescent="0.3"/>
    <row r="32" spans="2:19" ht="19.5" customHeight="1" x14ac:dyDescent="0.3"/>
    <row r="33" ht="19.5" customHeight="1" x14ac:dyDescent="0.3"/>
    <row r="34" ht="19.5" customHeight="1" x14ac:dyDescent="0.3"/>
    <row r="35" ht="19.5" customHeight="1" x14ac:dyDescent="0.3"/>
    <row r="36" ht="19.5" customHeight="1" x14ac:dyDescent="0.3"/>
    <row r="37" ht="19.5" customHeight="1" x14ac:dyDescent="0.3"/>
    <row r="38" ht="19.5" customHeight="1" x14ac:dyDescent="0.3"/>
    <row r="39" ht="19.5" customHeight="1" x14ac:dyDescent="0.3"/>
    <row r="40" ht="19.5" customHeight="1" x14ac:dyDescent="0.3"/>
    <row r="41" ht="19.5" customHeight="1" x14ac:dyDescent="0.3"/>
    <row r="42" ht="19.5" customHeight="1" x14ac:dyDescent="0.3"/>
    <row r="43" ht="19.5" customHeight="1" x14ac:dyDescent="0.3"/>
    <row r="44" ht="19.5" customHeight="1" x14ac:dyDescent="0.3"/>
    <row r="45" ht="19.5" customHeight="1" x14ac:dyDescent="0.3"/>
    <row r="46" ht="19.5" customHeight="1" x14ac:dyDescent="0.3"/>
    <row r="47" ht="19.5" customHeight="1" x14ac:dyDescent="0.3"/>
    <row r="48" ht="19.5" customHeight="1" x14ac:dyDescent="0.3"/>
    <row r="49" ht="19.5" customHeight="1" x14ac:dyDescent="0.3"/>
    <row r="50" ht="19.5" customHeight="1" x14ac:dyDescent="0.3"/>
    <row r="51" ht="19.5" customHeight="1" x14ac:dyDescent="0.3"/>
    <row r="52" ht="19.5" customHeight="1" x14ac:dyDescent="0.3"/>
    <row r="53" ht="19.5" customHeight="1" x14ac:dyDescent="0.3"/>
    <row r="54" ht="19.5" customHeight="1" x14ac:dyDescent="0.3"/>
    <row r="55" ht="19.5" customHeight="1" x14ac:dyDescent="0.3"/>
    <row r="56" ht="19.5" customHeight="1" x14ac:dyDescent="0.3"/>
    <row r="57" ht="19.5" customHeight="1" x14ac:dyDescent="0.3"/>
    <row r="58" ht="19.5" customHeight="1" x14ac:dyDescent="0.3"/>
    <row r="59" ht="19.5" customHeight="1" x14ac:dyDescent="0.3"/>
    <row r="60" ht="19.5" customHeight="1" x14ac:dyDescent="0.3"/>
    <row r="61" ht="19.5" customHeight="1" x14ac:dyDescent="0.3"/>
    <row r="62" ht="19.5" customHeight="1" x14ac:dyDescent="0.3"/>
    <row r="63" ht="19.5" customHeight="1" x14ac:dyDescent="0.3"/>
    <row r="64" ht="19.5" customHeight="1" x14ac:dyDescent="0.3"/>
    <row r="65" ht="19.5" customHeight="1" x14ac:dyDescent="0.3"/>
    <row r="66" ht="19.5" customHeight="1" x14ac:dyDescent="0.3"/>
    <row r="67" ht="19.5" customHeight="1" x14ac:dyDescent="0.3"/>
    <row r="68" ht="19.5" customHeight="1" x14ac:dyDescent="0.3"/>
    <row r="69" ht="19.5" customHeight="1" x14ac:dyDescent="0.3"/>
    <row r="70" ht="19.5" customHeight="1" x14ac:dyDescent="0.3"/>
    <row r="71" ht="19.5" customHeight="1" x14ac:dyDescent="0.3"/>
    <row r="72" ht="19.5" customHeight="1" x14ac:dyDescent="0.3"/>
    <row r="73" ht="19.5" customHeight="1" x14ac:dyDescent="0.3"/>
    <row r="74" ht="19.5" customHeight="1" x14ac:dyDescent="0.3"/>
    <row r="75" ht="19.5" customHeight="1" x14ac:dyDescent="0.3"/>
    <row r="76" ht="19.5" customHeight="1" x14ac:dyDescent="0.3"/>
    <row r="77" ht="19.5" customHeight="1" x14ac:dyDescent="0.3"/>
    <row r="78" ht="19.5" customHeight="1" x14ac:dyDescent="0.3"/>
    <row r="79" ht="19.5" customHeight="1" x14ac:dyDescent="0.3"/>
    <row r="80" ht="19.5" customHeight="1" x14ac:dyDescent="0.3"/>
    <row r="81" ht="19.5" customHeight="1" x14ac:dyDescent="0.3"/>
    <row r="82" ht="19.5" customHeight="1" x14ac:dyDescent="0.3"/>
    <row r="83" ht="19.5" customHeight="1" x14ac:dyDescent="0.3"/>
    <row r="84" ht="19.5" customHeight="1" x14ac:dyDescent="0.3"/>
    <row r="85" ht="19.5" customHeight="1" x14ac:dyDescent="0.3"/>
    <row r="86" ht="19.5" customHeight="1" x14ac:dyDescent="0.3"/>
    <row r="87" ht="19.5" customHeight="1" x14ac:dyDescent="0.3"/>
    <row r="88" ht="19.5" customHeight="1" x14ac:dyDescent="0.3"/>
    <row r="89" ht="19.5" customHeight="1" x14ac:dyDescent="0.3"/>
    <row r="90" ht="19.5" customHeight="1" x14ac:dyDescent="0.3"/>
    <row r="91" ht="19.5" customHeight="1" x14ac:dyDescent="0.3"/>
    <row r="92" ht="19.5" customHeight="1" x14ac:dyDescent="0.3"/>
    <row r="93" ht="19.5" customHeight="1" x14ac:dyDescent="0.3"/>
    <row r="94" ht="19.5" customHeight="1" x14ac:dyDescent="0.3"/>
    <row r="95" ht="19.5" customHeight="1" x14ac:dyDescent="0.3"/>
    <row r="96" ht="19.5" customHeight="1" x14ac:dyDescent="0.3"/>
    <row r="97" ht="19.5" customHeight="1" x14ac:dyDescent="0.3"/>
    <row r="98" ht="19.5" customHeight="1" x14ac:dyDescent="0.3"/>
    <row r="99" ht="19.5" customHeight="1" x14ac:dyDescent="0.3"/>
    <row r="100" ht="19.5" customHeight="1" x14ac:dyDescent="0.3"/>
    <row r="101" ht="19.5" customHeight="1" x14ac:dyDescent="0.3"/>
    <row r="102" ht="19.5" customHeight="1" x14ac:dyDescent="0.3"/>
    <row r="103" ht="19.5" customHeight="1" x14ac:dyDescent="0.3"/>
    <row r="104" ht="19.5" customHeight="1" x14ac:dyDescent="0.3"/>
    <row r="105" ht="19.5" customHeight="1" x14ac:dyDescent="0.3"/>
    <row r="106" ht="19.5" customHeight="1" x14ac:dyDescent="0.3"/>
    <row r="107" ht="19.5" customHeight="1" x14ac:dyDescent="0.3"/>
  </sheetData>
  <mergeCells count="6">
    <mergeCell ref="C6:R6"/>
    <mergeCell ref="S5:S6"/>
    <mergeCell ref="U6:AJ9"/>
    <mergeCell ref="A2:AK2"/>
    <mergeCell ref="M4:S4"/>
    <mergeCell ref="G4:L4"/>
  </mergeCells>
  <pageMargins left="0.7" right="0.7" top="0.75" bottom="0.75" header="0.3" footer="0.3"/>
  <pageSetup paperSize="9"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FEB16B-6E67-4422-A375-B532A294E20D}">
  <dimension ref="A1:B101"/>
  <sheetViews>
    <sheetView workbookViewId="0">
      <selection activeCell="G17" sqref="G17"/>
    </sheetView>
  </sheetViews>
  <sheetFormatPr baseColWidth="10" defaultColWidth="8.88671875" defaultRowHeight="14.4" x14ac:dyDescent="0.3"/>
  <sheetData>
    <row r="1" spans="1:2" x14ac:dyDescent="0.3">
      <c r="A1" s="2" t="s">
        <v>6</v>
      </c>
      <c r="B1" s="2" t="s">
        <v>24</v>
      </c>
    </row>
    <row r="2" spans="1:2" x14ac:dyDescent="0.3">
      <c r="A2" s="15">
        <f>Data!S7</f>
        <v>48.4375</v>
      </c>
      <c r="B2" s="2">
        <f>Data!B7</f>
        <v>1</v>
      </c>
    </row>
    <row r="3" spans="1:2" x14ac:dyDescent="0.3">
      <c r="A3" s="15">
        <f>Data!S8</f>
        <v>81.25</v>
      </c>
      <c r="B3" s="2">
        <f>Data!B8</f>
        <v>2</v>
      </c>
    </row>
    <row r="4" spans="1:2" x14ac:dyDescent="0.3">
      <c r="A4" s="15">
        <f>Data!S9</f>
        <v>81.25</v>
      </c>
      <c r="B4" s="2">
        <f>Data!B9</f>
        <v>3</v>
      </c>
    </row>
    <row r="5" spans="1:2" x14ac:dyDescent="0.3">
      <c r="A5" s="15">
        <f>Data!S10</f>
        <v>89.0625</v>
      </c>
      <c r="B5" s="2">
        <f>Data!B10</f>
        <v>4</v>
      </c>
    </row>
    <row r="6" spans="1:2" x14ac:dyDescent="0.3">
      <c r="A6" s="15">
        <f>Data!S11</f>
        <v>56.25</v>
      </c>
      <c r="B6" s="2">
        <f>Data!B11</f>
        <v>5</v>
      </c>
    </row>
    <row r="7" spans="1:2" x14ac:dyDescent="0.3">
      <c r="A7" s="15">
        <f>Data!S12</f>
        <v>87.5</v>
      </c>
      <c r="B7" s="2">
        <f>Data!B12</f>
        <v>6</v>
      </c>
    </row>
    <row r="8" spans="1:2" x14ac:dyDescent="0.3">
      <c r="A8" s="15">
        <f>Data!S13</f>
        <v>93.75</v>
      </c>
      <c r="B8" s="2">
        <f>Data!B13</f>
        <v>7</v>
      </c>
    </row>
    <row r="9" spans="1:2" x14ac:dyDescent="0.3">
      <c r="A9" s="15">
        <f>Data!S14</f>
        <v>60.9375</v>
      </c>
      <c r="B9" s="2">
        <f>Data!B14</f>
        <v>8</v>
      </c>
    </row>
    <row r="10" spans="1:2" x14ac:dyDescent="0.3">
      <c r="A10" s="15">
        <f>Data!S15</f>
        <v>81.25</v>
      </c>
      <c r="B10" s="2">
        <f>Data!B15</f>
        <v>9</v>
      </c>
    </row>
    <row r="11" spans="1:2" x14ac:dyDescent="0.3">
      <c r="A11" s="15">
        <f>Data!S16</f>
        <v>87.5</v>
      </c>
      <c r="B11" s="2">
        <f>Data!B16</f>
        <v>10</v>
      </c>
    </row>
    <row r="12" spans="1:2" x14ac:dyDescent="0.3">
      <c r="A12" s="15">
        <f>Data!S17</f>
        <v>89.0625</v>
      </c>
      <c r="B12" s="2">
        <f>Data!B17</f>
        <v>11</v>
      </c>
    </row>
    <row r="13" spans="1:2" x14ac:dyDescent="0.3">
      <c r="A13" s="15">
        <f>Data!S18</f>
        <v>78.125</v>
      </c>
      <c r="B13" s="2">
        <f>Data!B18</f>
        <v>12</v>
      </c>
    </row>
    <row r="14" spans="1:2" x14ac:dyDescent="0.3">
      <c r="A14" s="15">
        <f>Data!S19</f>
        <v>82.8125</v>
      </c>
      <c r="B14" s="2">
        <f>Data!B19</f>
        <v>13</v>
      </c>
    </row>
    <row r="15" spans="1:2" x14ac:dyDescent="0.3">
      <c r="A15" s="15">
        <f>Data!S20</f>
        <v>79.6875</v>
      </c>
      <c r="B15" s="2">
        <f>Data!B20</f>
        <v>14</v>
      </c>
    </row>
    <row r="16" spans="1:2" x14ac:dyDescent="0.3">
      <c r="A16" s="15">
        <f>Data!S21</f>
        <v>98.4375</v>
      </c>
      <c r="B16" s="2">
        <f>Data!B21</f>
        <v>15</v>
      </c>
    </row>
    <row r="17" spans="1:2" x14ac:dyDescent="0.3">
      <c r="A17" s="15">
        <f>Data!S22</f>
        <v>70.3125</v>
      </c>
      <c r="B17" s="2">
        <f>Data!B22</f>
        <v>16</v>
      </c>
    </row>
    <row r="18" spans="1:2" x14ac:dyDescent="0.3">
      <c r="A18" s="15">
        <f>Data!S23</f>
        <v>96.875</v>
      </c>
      <c r="B18" s="2">
        <f>Data!B23</f>
        <v>17</v>
      </c>
    </row>
    <row r="19" spans="1:2" x14ac:dyDescent="0.3">
      <c r="A19" s="15">
        <f>Data!S24</f>
        <v>85.9375</v>
      </c>
      <c r="B19" s="2">
        <f>Data!B24</f>
        <v>18</v>
      </c>
    </row>
    <row r="20" spans="1:2" x14ac:dyDescent="0.3">
      <c r="A20" s="15">
        <f>Data!S25</f>
        <v>65.625</v>
      </c>
      <c r="B20" s="2">
        <f>Data!B25</f>
        <v>19</v>
      </c>
    </row>
    <row r="21" spans="1:2" x14ac:dyDescent="0.3">
      <c r="A21" s="15">
        <f>Data!S26</f>
        <v>73.4375</v>
      </c>
      <c r="B21" s="2">
        <f>Data!B26</f>
        <v>20</v>
      </c>
    </row>
    <row r="22" spans="1:2" x14ac:dyDescent="0.3">
      <c r="A22" s="15" t="e">
        <f>Data!#REF!</f>
        <v>#REF!</v>
      </c>
      <c r="B22" s="2" t="e">
        <f>Data!#REF!</f>
        <v>#REF!</v>
      </c>
    </row>
    <row r="23" spans="1:2" x14ac:dyDescent="0.3">
      <c r="A23" s="15" t="e">
        <f>Data!#REF!</f>
        <v>#REF!</v>
      </c>
      <c r="B23" s="2" t="e">
        <f>Data!#REF!</f>
        <v>#REF!</v>
      </c>
    </row>
    <row r="24" spans="1:2" x14ac:dyDescent="0.3">
      <c r="A24" s="15" t="e">
        <f>Data!#REF!</f>
        <v>#REF!</v>
      </c>
      <c r="B24" s="2" t="e">
        <f>Data!#REF!</f>
        <v>#REF!</v>
      </c>
    </row>
    <row r="25" spans="1:2" x14ac:dyDescent="0.3">
      <c r="A25" s="15" t="e">
        <f>Data!#REF!</f>
        <v>#REF!</v>
      </c>
      <c r="B25" s="2" t="e">
        <f>Data!#REF!</f>
        <v>#REF!</v>
      </c>
    </row>
    <row r="26" spans="1:2" x14ac:dyDescent="0.3">
      <c r="A26" s="15" t="e">
        <f>Data!#REF!</f>
        <v>#REF!</v>
      </c>
      <c r="B26" s="2" t="e">
        <f>Data!#REF!</f>
        <v>#REF!</v>
      </c>
    </row>
    <row r="27" spans="1:2" x14ac:dyDescent="0.3">
      <c r="A27" s="15" t="e">
        <f>Data!#REF!</f>
        <v>#REF!</v>
      </c>
      <c r="B27" s="2" t="e">
        <f>Data!#REF!</f>
        <v>#REF!</v>
      </c>
    </row>
    <row r="28" spans="1:2" x14ac:dyDescent="0.3">
      <c r="A28" s="15" t="e">
        <f>Data!#REF!</f>
        <v>#REF!</v>
      </c>
      <c r="B28" s="2" t="e">
        <f>Data!#REF!</f>
        <v>#REF!</v>
      </c>
    </row>
    <row r="29" spans="1:2" x14ac:dyDescent="0.3">
      <c r="A29" s="15" t="e">
        <f>Data!#REF!</f>
        <v>#REF!</v>
      </c>
      <c r="B29" s="2" t="e">
        <f>Data!#REF!</f>
        <v>#REF!</v>
      </c>
    </row>
    <row r="30" spans="1:2" x14ac:dyDescent="0.3">
      <c r="A30" s="15" t="e">
        <f>Data!#REF!</f>
        <v>#REF!</v>
      </c>
      <c r="B30" s="2" t="e">
        <f>Data!#REF!</f>
        <v>#REF!</v>
      </c>
    </row>
    <row r="31" spans="1:2" x14ac:dyDescent="0.3">
      <c r="A31" s="15" t="e">
        <f>Data!#REF!</f>
        <v>#REF!</v>
      </c>
      <c r="B31" s="2" t="e">
        <f>Data!#REF!</f>
        <v>#REF!</v>
      </c>
    </row>
    <row r="32" spans="1:2" x14ac:dyDescent="0.3">
      <c r="A32" s="15" t="e">
        <f>Data!#REF!</f>
        <v>#REF!</v>
      </c>
      <c r="B32" s="2" t="e">
        <f>Data!#REF!</f>
        <v>#REF!</v>
      </c>
    </row>
    <row r="33" spans="1:2" x14ac:dyDescent="0.3">
      <c r="A33" s="15" t="e">
        <f>Data!#REF!</f>
        <v>#REF!</v>
      </c>
      <c r="B33" s="2" t="e">
        <f>Data!#REF!</f>
        <v>#REF!</v>
      </c>
    </row>
    <row r="34" spans="1:2" x14ac:dyDescent="0.3">
      <c r="A34" s="15" t="e">
        <f>Data!#REF!</f>
        <v>#REF!</v>
      </c>
      <c r="B34" s="2" t="e">
        <f>Data!#REF!</f>
        <v>#REF!</v>
      </c>
    </row>
    <row r="35" spans="1:2" x14ac:dyDescent="0.3">
      <c r="A35" s="15" t="e">
        <f>Data!#REF!</f>
        <v>#REF!</v>
      </c>
      <c r="B35" s="2" t="e">
        <f>Data!#REF!</f>
        <v>#REF!</v>
      </c>
    </row>
    <row r="36" spans="1:2" x14ac:dyDescent="0.3">
      <c r="A36" s="15" t="e">
        <f>Data!#REF!</f>
        <v>#REF!</v>
      </c>
      <c r="B36" s="2" t="e">
        <f>Data!#REF!</f>
        <v>#REF!</v>
      </c>
    </row>
    <row r="37" spans="1:2" x14ac:dyDescent="0.3">
      <c r="A37" s="15" t="e">
        <f>Data!#REF!</f>
        <v>#REF!</v>
      </c>
      <c r="B37" s="2" t="e">
        <f>Data!#REF!</f>
        <v>#REF!</v>
      </c>
    </row>
    <row r="38" spans="1:2" x14ac:dyDescent="0.3">
      <c r="A38" s="15" t="e">
        <f>Data!#REF!</f>
        <v>#REF!</v>
      </c>
      <c r="B38" s="2" t="e">
        <f>Data!#REF!</f>
        <v>#REF!</v>
      </c>
    </row>
    <row r="39" spans="1:2" x14ac:dyDescent="0.3">
      <c r="A39" s="15" t="e">
        <f>Data!#REF!</f>
        <v>#REF!</v>
      </c>
      <c r="B39" s="2" t="e">
        <f>Data!#REF!</f>
        <v>#REF!</v>
      </c>
    </row>
    <row r="40" spans="1:2" x14ac:dyDescent="0.3">
      <c r="A40" s="15" t="e">
        <f>Data!#REF!</f>
        <v>#REF!</v>
      </c>
      <c r="B40" s="2" t="e">
        <f>Data!#REF!</f>
        <v>#REF!</v>
      </c>
    </row>
    <row r="41" spans="1:2" x14ac:dyDescent="0.3">
      <c r="A41" s="15" t="e">
        <f>Data!#REF!</f>
        <v>#REF!</v>
      </c>
      <c r="B41" s="2" t="e">
        <f>Data!#REF!</f>
        <v>#REF!</v>
      </c>
    </row>
    <row r="42" spans="1:2" x14ac:dyDescent="0.3">
      <c r="A42" s="15" t="e">
        <f>Data!#REF!</f>
        <v>#REF!</v>
      </c>
      <c r="B42" s="2" t="e">
        <f>Data!#REF!</f>
        <v>#REF!</v>
      </c>
    </row>
    <row r="43" spans="1:2" x14ac:dyDescent="0.3">
      <c r="A43" s="15" t="e">
        <f>Data!#REF!</f>
        <v>#REF!</v>
      </c>
      <c r="B43" s="2" t="e">
        <f>Data!#REF!</f>
        <v>#REF!</v>
      </c>
    </row>
    <row r="44" spans="1:2" x14ac:dyDescent="0.3">
      <c r="A44" s="15" t="e">
        <f>Data!#REF!</f>
        <v>#REF!</v>
      </c>
      <c r="B44" s="2" t="e">
        <f>Data!#REF!</f>
        <v>#REF!</v>
      </c>
    </row>
    <row r="45" spans="1:2" x14ac:dyDescent="0.3">
      <c r="A45" s="15" t="e">
        <f>Data!#REF!</f>
        <v>#REF!</v>
      </c>
      <c r="B45" s="2" t="e">
        <f>Data!#REF!</f>
        <v>#REF!</v>
      </c>
    </row>
    <row r="46" spans="1:2" x14ac:dyDescent="0.3">
      <c r="A46" s="15" t="e">
        <f>Data!#REF!</f>
        <v>#REF!</v>
      </c>
      <c r="B46" s="2" t="e">
        <f>Data!#REF!</f>
        <v>#REF!</v>
      </c>
    </row>
    <row r="47" spans="1:2" x14ac:dyDescent="0.3">
      <c r="A47" s="15" t="e">
        <f>Data!#REF!</f>
        <v>#REF!</v>
      </c>
      <c r="B47" s="2" t="e">
        <f>Data!#REF!</f>
        <v>#REF!</v>
      </c>
    </row>
    <row r="48" spans="1:2" x14ac:dyDescent="0.3">
      <c r="A48" s="15" t="e">
        <f>Data!#REF!</f>
        <v>#REF!</v>
      </c>
      <c r="B48" s="2" t="e">
        <f>Data!#REF!</f>
        <v>#REF!</v>
      </c>
    </row>
    <row r="49" spans="1:2" x14ac:dyDescent="0.3">
      <c r="A49" s="15" t="e">
        <f>Data!#REF!</f>
        <v>#REF!</v>
      </c>
      <c r="B49" s="2" t="e">
        <f>Data!#REF!</f>
        <v>#REF!</v>
      </c>
    </row>
    <row r="50" spans="1:2" x14ac:dyDescent="0.3">
      <c r="A50" s="15" t="e">
        <f>Data!#REF!</f>
        <v>#REF!</v>
      </c>
      <c r="B50" s="2" t="e">
        <f>Data!#REF!</f>
        <v>#REF!</v>
      </c>
    </row>
    <row r="51" spans="1:2" x14ac:dyDescent="0.3">
      <c r="A51" s="15" t="e">
        <f>Data!#REF!</f>
        <v>#REF!</v>
      </c>
      <c r="B51" s="2" t="e">
        <f>Data!#REF!</f>
        <v>#REF!</v>
      </c>
    </row>
    <row r="52" spans="1:2" x14ac:dyDescent="0.3">
      <c r="A52" s="15" t="e">
        <f>Data!#REF!</f>
        <v>#REF!</v>
      </c>
      <c r="B52" s="2" t="e">
        <f>Data!#REF!</f>
        <v>#REF!</v>
      </c>
    </row>
    <row r="53" spans="1:2" x14ac:dyDescent="0.3">
      <c r="A53" s="15" t="e">
        <f>Data!#REF!</f>
        <v>#REF!</v>
      </c>
      <c r="B53" s="2" t="e">
        <f>Data!#REF!</f>
        <v>#REF!</v>
      </c>
    </row>
    <row r="54" spans="1:2" x14ac:dyDescent="0.3">
      <c r="A54" s="15" t="e">
        <f>Data!#REF!</f>
        <v>#REF!</v>
      </c>
      <c r="B54" s="2" t="e">
        <f>Data!#REF!</f>
        <v>#REF!</v>
      </c>
    </row>
    <row r="55" spans="1:2" x14ac:dyDescent="0.3">
      <c r="A55" s="15" t="e">
        <f>Data!#REF!</f>
        <v>#REF!</v>
      </c>
      <c r="B55" s="2" t="e">
        <f>Data!#REF!</f>
        <v>#REF!</v>
      </c>
    </row>
    <row r="56" spans="1:2" x14ac:dyDescent="0.3">
      <c r="A56" s="15" t="e">
        <f>Data!#REF!</f>
        <v>#REF!</v>
      </c>
      <c r="B56" s="2" t="e">
        <f>Data!#REF!</f>
        <v>#REF!</v>
      </c>
    </row>
    <row r="57" spans="1:2" x14ac:dyDescent="0.3">
      <c r="A57" s="15" t="e">
        <f>Data!#REF!</f>
        <v>#REF!</v>
      </c>
      <c r="B57" s="2" t="e">
        <f>Data!#REF!</f>
        <v>#REF!</v>
      </c>
    </row>
    <row r="58" spans="1:2" x14ac:dyDescent="0.3">
      <c r="A58" s="15" t="e">
        <f>Data!#REF!</f>
        <v>#REF!</v>
      </c>
      <c r="B58" s="2" t="e">
        <f>Data!#REF!</f>
        <v>#REF!</v>
      </c>
    </row>
    <row r="59" spans="1:2" x14ac:dyDescent="0.3">
      <c r="A59" s="15" t="e">
        <f>Data!#REF!</f>
        <v>#REF!</v>
      </c>
      <c r="B59" s="2" t="e">
        <f>Data!#REF!</f>
        <v>#REF!</v>
      </c>
    </row>
    <row r="60" spans="1:2" x14ac:dyDescent="0.3">
      <c r="A60" s="15" t="e">
        <f>Data!#REF!</f>
        <v>#REF!</v>
      </c>
      <c r="B60" s="2" t="e">
        <f>Data!#REF!</f>
        <v>#REF!</v>
      </c>
    </row>
    <row r="61" spans="1:2" x14ac:dyDescent="0.3">
      <c r="A61" s="15" t="e">
        <f>Data!#REF!</f>
        <v>#REF!</v>
      </c>
      <c r="B61" s="2" t="e">
        <f>Data!#REF!</f>
        <v>#REF!</v>
      </c>
    </row>
    <row r="62" spans="1:2" x14ac:dyDescent="0.3">
      <c r="A62" s="15" t="e">
        <f>Data!#REF!</f>
        <v>#REF!</v>
      </c>
      <c r="B62" s="2" t="e">
        <f>Data!#REF!</f>
        <v>#REF!</v>
      </c>
    </row>
    <row r="63" spans="1:2" x14ac:dyDescent="0.3">
      <c r="A63" s="15" t="e">
        <f>Data!#REF!</f>
        <v>#REF!</v>
      </c>
      <c r="B63" s="2" t="e">
        <f>Data!#REF!</f>
        <v>#REF!</v>
      </c>
    </row>
    <row r="64" spans="1:2" x14ac:dyDescent="0.3">
      <c r="A64" s="15" t="e">
        <f>Data!#REF!</f>
        <v>#REF!</v>
      </c>
      <c r="B64" s="2" t="e">
        <f>Data!#REF!</f>
        <v>#REF!</v>
      </c>
    </row>
    <row r="65" spans="1:2" x14ac:dyDescent="0.3">
      <c r="A65" s="15" t="e">
        <f>Data!#REF!</f>
        <v>#REF!</v>
      </c>
      <c r="B65" s="2" t="e">
        <f>Data!#REF!</f>
        <v>#REF!</v>
      </c>
    </row>
    <row r="66" spans="1:2" x14ac:dyDescent="0.3">
      <c r="A66" s="15" t="e">
        <f>Data!#REF!</f>
        <v>#REF!</v>
      </c>
      <c r="B66" s="2" t="e">
        <f>Data!#REF!</f>
        <v>#REF!</v>
      </c>
    </row>
    <row r="67" spans="1:2" x14ac:dyDescent="0.3">
      <c r="A67" s="15" t="e">
        <f>Data!#REF!</f>
        <v>#REF!</v>
      </c>
      <c r="B67" s="2" t="e">
        <f>Data!#REF!</f>
        <v>#REF!</v>
      </c>
    </row>
    <row r="68" spans="1:2" x14ac:dyDescent="0.3">
      <c r="A68" s="15" t="e">
        <f>Data!#REF!</f>
        <v>#REF!</v>
      </c>
      <c r="B68" s="2" t="e">
        <f>Data!#REF!</f>
        <v>#REF!</v>
      </c>
    </row>
    <row r="69" spans="1:2" x14ac:dyDescent="0.3">
      <c r="A69" s="15" t="e">
        <f>Data!#REF!</f>
        <v>#REF!</v>
      </c>
      <c r="B69" s="2" t="e">
        <f>Data!#REF!</f>
        <v>#REF!</v>
      </c>
    </row>
    <row r="70" spans="1:2" x14ac:dyDescent="0.3">
      <c r="A70" s="15" t="e">
        <f>Data!#REF!</f>
        <v>#REF!</v>
      </c>
      <c r="B70" s="2" t="e">
        <f>Data!#REF!</f>
        <v>#REF!</v>
      </c>
    </row>
    <row r="71" spans="1:2" x14ac:dyDescent="0.3">
      <c r="A71" s="15" t="e">
        <f>Data!#REF!</f>
        <v>#REF!</v>
      </c>
      <c r="B71" s="2" t="e">
        <f>Data!#REF!</f>
        <v>#REF!</v>
      </c>
    </row>
    <row r="72" spans="1:2" x14ac:dyDescent="0.3">
      <c r="A72" s="15" t="e">
        <f>Data!#REF!</f>
        <v>#REF!</v>
      </c>
      <c r="B72" s="2" t="e">
        <f>Data!#REF!</f>
        <v>#REF!</v>
      </c>
    </row>
    <row r="73" spans="1:2" x14ac:dyDescent="0.3">
      <c r="A73" s="15" t="e">
        <f>Data!#REF!</f>
        <v>#REF!</v>
      </c>
      <c r="B73" s="2" t="e">
        <f>Data!#REF!</f>
        <v>#REF!</v>
      </c>
    </row>
    <row r="74" spans="1:2" x14ac:dyDescent="0.3">
      <c r="A74" s="15" t="e">
        <f>Data!#REF!</f>
        <v>#REF!</v>
      </c>
      <c r="B74" s="2" t="e">
        <f>Data!#REF!</f>
        <v>#REF!</v>
      </c>
    </row>
    <row r="75" spans="1:2" x14ac:dyDescent="0.3">
      <c r="A75" s="15" t="e">
        <f>Data!#REF!</f>
        <v>#REF!</v>
      </c>
      <c r="B75" s="2" t="e">
        <f>Data!#REF!</f>
        <v>#REF!</v>
      </c>
    </row>
    <row r="76" spans="1:2" x14ac:dyDescent="0.3">
      <c r="A76" s="15" t="e">
        <f>Data!#REF!</f>
        <v>#REF!</v>
      </c>
      <c r="B76" s="2" t="e">
        <f>Data!#REF!</f>
        <v>#REF!</v>
      </c>
    </row>
    <row r="77" spans="1:2" x14ac:dyDescent="0.3">
      <c r="A77" s="15" t="e">
        <f>Data!#REF!</f>
        <v>#REF!</v>
      </c>
      <c r="B77" s="2" t="e">
        <f>Data!#REF!</f>
        <v>#REF!</v>
      </c>
    </row>
    <row r="78" spans="1:2" x14ac:dyDescent="0.3">
      <c r="A78" s="15" t="e">
        <f>Data!#REF!</f>
        <v>#REF!</v>
      </c>
      <c r="B78" s="2" t="e">
        <f>Data!#REF!</f>
        <v>#REF!</v>
      </c>
    </row>
    <row r="79" spans="1:2" x14ac:dyDescent="0.3">
      <c r="A79" s="15" t="e">
        <f>Data!#REF!</f>
        <v>#REF!</v>
      </c>
      <c r="B79" s="2" t="e">
        <f>Data!#REF!</f>
        <v>#REF!</v>
      </c>
    </row>
    <row r="80" spans="1:2" x14ac:dyDescent="0.3">
      <c r="A80" s="15" t="e">
        <f>Data!#REF!</f>
        <v>#REF!</v>
      </c>
      <c r="B80" s="2" t="e">
        <f>Data!#REF!</f>
        <v>#REF!</v>
      </c>
    </row>
    <row r="81" spans="1:2" x14ac:dyDescent="0.3">
      <c r="A81" s="15" t="e">
        <f>Data!#REF!</f>
        <v>#REF!</v>
      </c>
      <c r="B81" s="2" t="e">
        <f>Data!#REF!</f>
        <v>#REF!</v>
      </c>
    </row>
    <row r="82" spans="1:2" x14ac:dyDescent="0.3">
      <c r="A82" s="15" t="e">
        <f>Data!#REF!</f>
        <v>#REF!</v>
      </c>
      <c r="B82" s="2" t="e">
        <f>Data!#REF!</f>
        <v>#REF!</v>
      </c>
    </row>
    <row r="83" spans="1:2" x14ac:dyDescent="0.3">
      <c r="A83" s="15" t="e">
        <f>Data!#REF!</f>
        <v>#REF!</v>
      </c>
      <c r="B83" s="2" t="e">
        <f>Data!#REF!</f>
        <v>#REF!</v>
      </c>
    </row>
    <row r="84" spans="1:2" x14ac:dyDescent="0.3">
      <c r="A84" s="15" t="e">
        <f>Data!#REF!</f>
        <v>#REF!</v>
      </c>
      <c r="B84" s="2" t="e">
        <f>Data!#REF!</f>
        <v>#REF!</v>
      </c>
    </row>
    <row r="85" spans="1:2" x14ac:dyDescent="0.3">
      <c r="A85" s="15" t="e">
        <f>Data!#REF!</f>
        <v>#REF!</v>
      </c>
      <c r="B85" s="2" t="e">
        <f>Data!#REF!</f>
        <v>#REF!</v>
      </c>
    </row>
    <row r="86" spans="1:2" x14ac:dyDescent="0.3">
      <c r="A86" s="15" t="e">
        <f>Data!#REF!</f>
        <v>#REF!</v>
      </c>
      <c r="B86" s="2" t="e">
        <f>Data!#REF!</f>
        <v>#REF!</v>
      </c>
    </row>
    <row r="87" spans="1:2" x14ac:dyDescent="0.3">
      <c r="A87" s="15" t="e">
        <f>Data!#REF!</f>
        <v>#REF!</v>
      </c>
      <c r="B87" s="2" t="e">
        <f>Data!#REF!</f>
        <v>#REF!</v>
      </c>
    </row>
    <row r="88" spans="1:2" x14ac:dyDescent="0.3">
      <c r="A88" s="15" t="e">
        <f>Data!#REF!</f>
        <v>#REF!</v>
      </c>
      <c r="B88" s="2" t="e">
        <f>Data!#REF!</f>
        <v>#REF!</v>
      </c>
    </row>
    <row r="89" spans="1:2" x14ac:dyDescent="0.3">
      <c r="A89" s="15" t="e">
        <f>Data!#REF!</f>
        <v>#REF!</v>
      </c>
      <c r="B89" s="2" t="e">
        <f>Data!#REF!</f>
        <v>#REF!</v>
      </c>
    </row>
    <row r="90" spans="1:2" x14ac:dyDescent="0.3">
      <c r="A90" s="15" t="e">
        <f>Data!#REF!</f>
        <v>#REF!</v>
      </c>
      <c r="B90" s="2" t="e">
        <f>Data!#REF!</f>
        <v>#REF!</v>
      </c>
    </row>
    <row r="91" spans="1:2" x14ac:dyDescent="0.3">
      <c r="A91" s="15" t="e">
        <f>Data!#REF!</f>
        <v>#REF!</v>
      </c>
      <c r="B91" s="2" t="e">
        <f>Data!#REF!</f>
        <v>#REF!</v>
      </c>
    </row>
    <row r="92" spans="1:2" x14ac:dyDescent="0.3">
      <c r="A92" s="15" t="e">
        <f>Data!#REF!</f>
        <v>#REF!</v>
      </c>
      <c r="B92" s="2" t="e">
        <f>Data!#REF!</f>
        <v>#REF!</v>
      </c>
    </row>
    <row r="93" spans="1:2" x14ac:dyDescent="0.3">
      <c r="A93" s="15" t="e">
        <f>Data!#REF!</f>
        <v>#REF!</v>
      </c>
      <c r="B93" s="2" t="e">
        <f>Data!#REF!</f>
        <v>#REF!</v>
      </c>
    </row>
    <row r="94" spans="1:2" x14ac:dyDescent="0.3">
      <c r="A94" s="15" t="e">
        <f>Data!#REF!</f>
        <v>#REF!</v>
      </c>
      <c r="B94" s="2" t="e">
        <f>Data!#REF!</f>
        <v>#REF!</v>
      </c>
    </row>
    <row r="95" spans="1:2" x14ac:dyDescent="0.3">
      <c r="A95" s="15" t="e">
        <f>Data!#REF!</f>
        <v>#REF!</v>
      </c>
      <c r="B95" s="2" t="e">
        <f>Data!#REF!</f>
        <v>#REF!</v>
      </c>
    </row>
    <row r="96" spans="1:2" x14ac:dyDescent="0.3">
      <c r="A96" s="15" t="e">
        <f>Data!#REF!</f>
        <v>#REF!</v>
      </c>
      <c r="B96" s="2" t="e">
        <f>Data!#REF!</f>
        <v>#REF!</v>
      </c>
    </row>
    <row r="97" spans="1:2" x14ac:dyDescent="0.3">
      <c r="A97" s="15" t="e">
        <f>Data!#REF!</f>
        <v>#REF!</v>
      </c>
      <c r="B97" s="2" t="e">
        <f>Data!#REF!</f>
        <v>#REF!</v>
      </c>
    </row>
    <row r="98" spans="1:2" x14ac:dyDescent="0.3">
      <c r="A98" s="15" t="e">
        <f>Data!#REF!</f>
        <v>#REF!</v>
      </c>
      <c r="B98" s="2" t="e">
        <f>Data!#REF!</f>
        <v>#REF!</v>
      </c>
    </row>
    <row r="99" spans="1:2" x14ac:dyDescent="0.3">
      <c r="A99" s="15" t="e">
        <f>Data!#REF!</f>
        <v>#REF!</v>
      </c>
      <c r="B99" s="2" t="e">
        <f>Data!#REF!</f>
        <v>#REF!</v>
      </c>
    </row>
    <row r="100" spans="1:2" x14ac:dyDescent="0.3">
      <c r="A100" s="15" t="e">
        <f>Data!#REF!</f>
        <v>#REF!</v>
      </c>
      <c r="B100" s="2" t="e">
        <f>Data!#REF!</f>
        <v>#REF!</v>
      </c>
    </row>
    <row r="101" spans="1:2" x14ac:dyDescent="0.3">
      <c r="A101" s="15" t="e">
        <f>Data!#REF!</f>
        <v>#REF!</v>
      </c>
      <c r="B101" s="2" t="e">
        <f>Data!#REF!</f>
        <v>#REF!</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823B4-473E-4849-A6B9-CBE17ABBC574}">
  <dimension ref="A1:AD28"/>
  <sheetViews>
    <sheetView showGridLines="0" showRowColHeaders="0" topLeftCell="A3" workbookViewId="0">
      <selection activeCell="H24" sqref="H24"/>
    </sheetView>
  </sheetViews>
  <sheetFormatPr baseColWidth="10" defaultColWidth="0" defaultRowHeight="14.4" zeroHeight="1" x14ac:dyDescent="0.3"/>
  <cols>
    <col min="1" max="2" width="3.6640625" customWidth="1"/>
    <col min="3" max="3" width="15.88671875" bestFit="1" customWidth="1"/>
    <col min="4" max="4" width="9" bestFit="1" customWidth="1"/>
    <col min="5" max="6" width="8.33203125" customWidth="1"/>
    <col min="7" max="13" width="3.6640625" customWidth="1"/>
    <col min="14" max="14" width="3.88671875" bestFit="1" customWidth="1"/>
    <col min="15" max="15" width="2.109375" bestFit="1" customWidth="1"/>
    <col min="16" max="16" width="3.88671875" bestFit="1" customWidth="1"/>
    <col min="17" max="18" width="3.6640625" customWidth="1"/>
    <col min="19" max="19" width="13.5546875" hidden="1" customWidth="1"/>
    <col min="20" max="20" width="5" hidden="1" customWidth="1"/>
    <col min="21" max="28" width="3.6640625" hidden="1" customWidth="1"/>
    <col min="29" max="16384" width="9.109375" hidden="1"/>
  </cols>
  <sheetData>
    <row r="1" spans="1:30" x14ac:dyDescent="0.3"/>
    <row r="2" spans="1:30" ht="21" x14ac:dyDescent="0.4">
      <c r="A2" s="59" t="s">
        <v>21</v>
      </c>
      <c r="B2" s="59"/>
      <c r="C2" s="59"/>
      <c r="D2" s="59"/>
      <c r="E2" s="59"/>
      <c r="F2" s="59"/>
      <c r="G2" s="59"/>
      <c r="H2" s="59"/>
      <c r="I2" s="59"/>
      <c r="J2" s="59"/>
      <c r="K2" s="59"/>
      <c r="L2" s="59"/>
      <c r="M2" s="59"/>
      <c r="N2" s="59"/>
      <c r="O2" s="59"/>
      <c r="P2" s="59"/>
      <c r="Q2" s="59"/>
      <c r="R2" s="59"/>
    </row>
    <row r="3" spans="1:30" ht="16.2" thickBot="1" x14ac:dyDescent="0.35">
      <c r="B3" s="3"/>
      <c r="C3" s="3"/>
      <c r="D3" s="3"/>
      <c r="E3" s="3"/>
      <c r="F3" s="3"/>
      <c r="G3" s="3"/>
      <c r="H3" s="3"/>
      <c r="I3" s="3"/>
      <c r="J3" s="3"/>
      <c r="K3" s="3"/>
      <c r="L3" s="3"/>
      <c r="M3" s="3"/>
      <c r="N3" s="3"/>
      <c r="O3" s="3"/>
      <c r="P3" s="3"/>
      <c r="Q3" s="3"/>
      <c r="R3" s="3"/>
      <c r="S3" s="3"/>
      <c r="T3" s="3"/>
      <c r="U3" s="3"/>
      <c r="V3" s="3"/>
      <c r="W3" s="3"/>
      <c r="X3" s="3"/>
      <c r="Y3" s="3"/>
      <c r="Z3" s="3"/>
      <c r="AA3" s="18"/>
    </row>
    <row r="4" spans="1:30" ht="19.5" customHeight="1" x14ac:dyDescent="0.3">
      <c r="B4" s="30"/>
      <c r="C4" s="31"/>
      <c r="D4" s="31"/>
      <c r="E4" s="31"/>
      <c r="F4" s="31"/>
      <c r="G4" s="31"/>
      <c r="H4" s="31"/>
      <c r="I4" s="31"/>
      <c r="J4" s="32"/>
      <c r="K4" s="3"/>
      <c r="L4" s="64" t="s">
        <v>34</v>
      </c>
      <c r="M4" s="65"/>
      <c r="N4" s="65"/>
      <c r="O4" s="65"/>
      <c r="P4" s="65"/>
      <c r="Q4" s="66"/>
      <c r="R4" s="45"/>
      <c r="S4" s="3"/>
      <c r="T4" s="3"/>
      <c r="U4" s="3"/>
      <c r="V4" s="3"/>
      <c r="W4" s="18"/>
      <c r="X4" s="18"/>
      <c r="Y4" s="18"/>
      <c r="Z4" s="18"/>
      <c r="AA4" s="18"/>
    </row>
    <row r="5" spans="1:30" ht="15.75" customHeight="1" x14ac:dyDescent="0.3">
      <c r="B5" s="33"/>
      <c r="C5" s="61" t="s">
        <v>33</v>
      </c>
      <c r="D5" s="61"/>
      <c r="E5" s="61"/>
      <c r="F5" s="61"/>
      <c r="G5" s="19"/>
      <c r="H5" s="19"/>
      <c r="I5" s="19"/>
      <c r="J5" s="34"/>
      <c r="K5" s="19"/>
      <c r="L5" s="67"/>
      <c r="M5" s="68"/>
      <c r="N5" s="68"/>
      <c r="O5" s="68"/>
      <c r="P5" s="68"/>
      <c r="Q5" s="69"/>
      <c r="R5" s="45"/>
      <c r="S5" s="3"/>
      <c r="T5" s="20"/>
      <c r="U5" s="3"/>
      <c r="V5" s="3"/>
      <c r="W5" s="18"/>
      <c r="X5" s="18"/>
      <c r="Y5" s="18"/>
      <c r="Z5" s="18"/>
      <c r="AA5" s="18"/>
    </row>
    <row r="6" spans="1:30" ht="16.2" thickBot="1" x14ac:dyDescent="0.35">
      <c r="B6" s="33"/>
      <c r="C6" s="3"/>
      <c r="D6" s="3"/>
      <c r="E6" s="3"/>
      <c r="F6" s="3"/>
      <c r="G6" s="3"/>
      <c r="H6" s="3"/>
      <c r="I6" s="3"/>
      <c r="J6" s="35"/>
      <c r="K6" s="3"/>
      <c r="L6" s="33"/>
      <c r="M6" s="3"/>
      <c r="N6" s="3"/>
      <c r="O6" s="3"/>
      <c r="P6" s="3"/>
      <c r="Q6" s="35"/>
      <c r="R6" s="3"/>
      <c r="S6" s="3"/>
      <c r="T6" s="3"/>
      <c r="U6" s="3"/>
      <c r="V6" s="3"/>
      <c r="W6" s="61"/>
      <c r="X6" s="61"/>
      <c r="Y6" s="61"/>
      <c r="Z6" s="61"/>
      <c r="AA6" s="61"/>
    </row>
    <row r="7" spans="1:30" ht="16.8" thickTop="1" thickBot="1" x14ac:dyDescent="0.35">
      <c r="B7" s="33"/>
      <c r="C7" s="3" t="s">
        <v>30</v>
      </c>
      <c r="D7" s="72" t="str">
        <f>Data!M4</f>
        <v>Estandar</v>
      </c>
      <c r="E7" s="73"/>
      <c r="F7" s="74"/>
      <c r="G7" s="29"/>
      <c r="H7" s="29"/>
      <c r="I7" s="29"/>
      <c r="J7" s="36"/>
      <c r="K7" s="29"/>
      <c r="L7" s="41"/>
      <c r="M7" s="25" t="s">
        <v>27</v>
      </c>
      <c r="N7" s="62" t="s">
        <v>6</v>
      </c>
      <c r="O7" s="62"/>
      <c r="P7" s="63"/>
      <c r="Q7" s="42"/>
      <c r="R7" s="23"/>
      <c r="S7" s="23"/>
      <c r="T7" s="3"/>
      <c r="U7" s="3"/>
      <c r="V7" s="3"/>
      <c r="W7" s="3"/>
      <c r="X7" s="3"/>
      <c r="Y7" s="3"/>
      <c r="Z7" s="3"/>
      <c r="AA7" s="18"/>
    </row>
    <row r="8" spans="1:30" ht="16.8" thickTop="1" thickBot="1" x14ac:dyDescent="0.35">
      <c r="B8" s="33"/>
      <c r="C8" s="37"/>
      <c r="D8" s="3"/>
      <c r="E8" s="3"/>
      <c r="F8" s="3"/>
      <c r="G8" s="3"/>
      <c r="H8" s="3"/>
      <c r="I8" s="3"/>
      <c r="J8" s="35"/>
      <c r="K8" s="3"/>
      <c r="L8" s="33"/>
      <c r="M8" s="11">
        <v>1</v>
      </c>
      <c r="N8" s="26">
        <f>AVERAGE(Data!C7:C26)</f>
        <v>4.05</v>
      </c>
      <c r="O8" s="27" t="s">
        <v>22</v>
      </c>
      <c r="P8" s="28">
        <f>_xlfn.STDEV.S(Data!C7:C26)</f>
        <v>0.94451324138833237</v>
      </c>
      <c r="Q8" s="35"/>
      <c r="R8" s="3"/>
      <c r="S8" s="3"/>
      <c r="T8" s="3"/>
      <c r="U8" s="3"/>
      <c r="V8" s="3"/>
      <c r="W8" s="3"/>
      <c r="X8" s="19"/>
      <c r="Y8" s="19"/>
      <c r="Z8" s="19"/>
      <c r="AA8" s="18"/>
    </row>
    <row r="9" spans="1:30" ht="16.8" thickTop="1" thickBot="1" x14ac:dyDescent="0.35">
      <c r="B9" s="33"/>
      <c r="C9" s="3" t="s">
        <v>36</v>
      </c>
      <c r="D9" s="24">
        <f>COUNTA(Data!S7:S26)</f>
        <v>20</v>
      </c>
      <c r="E9" s="3"/>
      <c r="F9" s="3"/>
      <c r="G9" s="3"/>
      <c r="H9" s="3"/>
      <c r="I9" s="3"/>
      <c r="J9" s="35"/>
      <c r="K9" s="3"/>
      <c r="L9" s="33"/>
      <c r="M9" s="11">
        <v>2</v>
      </c>
      <c r="N9" s="26">
        <f>AVERAGE(Data!D7:D26)</f>
        <v>2.75</v>
      </c>
      <c r="O9" s="27" t="s">
        <v>22</v>
      </c>
      <c r="P9" s="28">
        <f>_xlfn.STDEV.S(Data!D7:D26)</f>
        <v>1.3717065820970682</v>
      </c>
      <c r="Q9" s="35"/>
      <c r="R9" s="3"/>
      <c r="S9" s="3"/>
      <c r="T9" s="3"/>
      <c r="U9" s="3"/>
      <c r="V9" s="3"/>
      <c r="W9" s="3"/>
      <c r="X9" s="19"/>
      <c r="Y9" s="21"/>
      <c r="Z9" s="21"/>
      <c r="AA9" s="22"/>
    </row>
    <row r="10" spans="1:30" ht="16.8" thickTop="1" thickBot="1" x14ac:dyDescent="0.35">
      <c r="B10" s="33"/>
      <c r="C10" s="37"/>
      <c r="D10" s="3"/>
      <c r="E10" s="3"/>
      <c r="F10" s="3"/>
      <c r="G10" s="3"/>
      <c r="H10" s="3"/>
      <c r="I10" s="3"/>
      <c r="J10" s="35"/>
      <c r="K10" s="3"/>
      <c r="L10" s="33"/>
      <c r="M10" s="11">
        <v>3</v>
      </c>
      <c r="N10" s="26">
        <f>AVERAGE(Data!E7:E26)</f>
        <v>4.3499999999999996</v>
      </c>
      <c r="O10" s="27" t="s">
        <v>22</v>
      </c>
      <c r="P10" s="28">
        <f>_xlfn.STDEV.S(Data!E7:E26)</f>
        <v>0.74515982037059503</v>
      </c>
      <c r="Q10" s="35"/>
      <c r="R10" s="3"/>
      <c r="S10" s="3"/>
      <c r="T10" s="3"/>
      <c r="U10" s="3"/>
      <c r="V10" s="3"/>
      <c r="W10" s="3"/>
      <c r="X10" s="19"/>
      <c r="Y10" s="21"/>
      <c r="Z10" s="21"/>
      <c r="AA10" s="22"/>
    </row>
    <row r="11" spans="1:30" ht="16.8" thickTop="1" thickBot="1" x14ac:dyDescent="0.35">
      <c r="B11" s="33"/>
      <c r="C11" s="3" t="s">
        <v>26</v>
      </c>
      <c r="D11" s="24" t="str">
        <f>_xlfn.CONCAT(T27,T26,T28)</f>
        <v>79,4±13,4</v>
      </c>
      <c r="E11" s="18"/>
      <c r="F11" s="18"/>
      <c r="G11" s="18"/>
      <c r="H11" s="18"/>
      <c r="I11" s="18"/>
      <c r="J11" s="38"/>
      <c r="K11" s="18"/>
      <c r="L11" s="43"/>
      <c r="M11" s="16">
        <v>4</v>
      </c>
      <c r="N11" s="26">
        <f>AVERAGE(Data!F7:F26)</f>
        <v>2</v>
      </c>
      <c r="O11" s="27" t="s">
        <v>22</v>
      </c>
      <c r="P11" s="28">
        <f>_xlfn.STDEV.S(Data!F7:F26)</f>
        <v>1.2977713690461004</v>
      </c>
      <c r="Q11" s="38"/>
      <c r="R11" s="18"/>
      <c r="S11" s="18"/>
      <c r="T11" s="18"/>
      <c r="U11" s="18"/>
      <c r="V11" s="3"/>
      <c r="W11" s="3"/>
      <c r="X11" s="19"/>
      <c r="Y11" s="21"/>
      <c r="Z11" s="21"/>
      <c r="AA11" s="22"/>
      <c r="AD11" s="18"/>
    </row>
    <row r="12" spans="1:30" ht="16.8" thickTop="1" thickBot="1" x14ac:dyDescent="0.35">
      <c r="B12" s="33"/>
      <c r="C12" s="37"/>
      <c r="D12" s="3"/>
      <c r="E12" s="3"/>
      <c r="F12" s="3"/>
      <c r="G12" s="3"/>
      <c r="H12" s="3"/>
      <c r="I12" s="3"/>
      <c r="J12" s="35"/>
      <c r="K12" s="3"/>
      <c r="L12" s="33"/>
      <c r="M12" s="11">
        <v>5</v>
      </c>
      <c r="N12" s="26">
        <f>AVERAGE(Data!G7:G26)</f>
        <v>3.85</v>
      </c>
      <c r="O12" s="27" t="s">
        <v>22</v>
      </c>
      <c r="P12" s="28">
        <f>_xlfn.STDEV.S(Data!G7:G26)</f>
        <v>1.1821033884786187</v>
      </c>
      <c r="Q12" s="35"/>
      <c r="R12" s="3"/>
      <c r="S12" s="3"/>
      <c r="T12" s="3"/>
      <c r="U12" s="3"/>
      <c r="V12" s="3"/>
      <c r="W12" s="3"/>
      <c r="X12" s="19"/>
      <c r="Y12" s="21"/>
      <c r="Z12" s="21"/>
      <c r="AA12" s="22"/>
    </row>
    <row r="13" spans="1:30" ht="16.8" thickTop="1" thickBot="1" x14ac:dyDescent="0.35">
      <c r="B13" s="33"/>
      <c r="C13" s="3" t="s">
        <v>31</v>
      </c>
      <c r="D13" s="46">
        <f>MIN(Data!S7:S26)</f>
        <v>48.4375</v>
      </c>
      <c r="E13" s="18"/>
      <c r="F13" s="70" t="s">
        <v>4</v>
      </c>
      <c r="G13" s="75"/>
      <c r="H13" s="76">
        <f>VLOOKUP(D13,Lookup!A1:B101,2,FALSE)</f>
        <v>1</v>
      </c>
      <c r="I13" s="77"/>
      <c r="J13" s="38"/>
      <c r="K13" s="18"/>
      <c r="L13" s="43"/>
      <c r="M13" s="11">
        <v>6</v>
      </c>
      <c r="N13" s="26">
        <f>AVERAGE(Data!H7:H26)</f>
        <v>2.5789473684210527</v>
      </c>
      <c r="O13" s="27" t="s">
        <v>22</v>
      </c>
      <c r="P13" s="28">
        <f>_xlfn.STDEV.S(Data!H7:H26)</f>
        <v>1.6095475373078614</v>
      </c>
      <c r="Q13" s="38"/>
      <c r="R13" s="18"/>
      <c r="S13" s="18"/>
      <c r="T13" s="18"/>
      <c r="U13" s="18"/>
      <c r="V13" s="3"/>
      <c r="W13" s="3"/>
      <c r="X13" s="19"/>
      <c r="Y13" s="21"/>
      <c r="Z13" s="21"/>
      <c r="AA13" s="22"/>
    </row>
    <row r="14" spans="1:30" ht="16.8" thickTop="1" thickBot="1" x14ac:dyDescent="0.35">
      <c r="B14" s="33"/>
      <c r="C14" s="37"/>
      <c r="D14" s="18"/>
      <c r="E14" s="18"/>
      <c r="F14" s="3"/>
      <c r="G14" s="3"/>
      <c r="H14" s="18"/>
      <c r="I14" s="18"/>
      <c r="J14" s="38"/>
      <c r="K14" s="18"/>
      <c r="L14" s="43"/>
      <c r="M14" s="11">
        <v>7</v>
      </c>
      <c r="N14" s="26">
        <f>AVERAGE(Data!I7:I26)</f>
        <v>4.6500000000000004</v>
      </c>
      <c r="O14" s="27" t="s">
        <v>22</v>
      </c>
      <c r="P14" s="28">
        <f>_xlfn.STDEV.S(Data!I7:I26)</f>
        <v>0.58714294861240024</v>
      </c>
      <c r="Q14" s="38"/>
      <c r="R14" s="18"/>
      <c r="S14" s="18"/>
      <c r="T14" s="18"/>
      <c r="U14" s="18"/>
      <c r="V14" s="3"/>
      <c r="W14" s="3"/>
      <c r="X14" s="19"/>
      <c r="Y14" s="21"/>
      <c r="Z14" s="21"/>
      <c r="AA14" s="22"/>
    </row>
    <row r="15" spans="1:30" ht="16.8" thickTop="1" thickBot="1" x14ac:dyDescent="0.35">
      <c r="B15" s="33"/>
      <c r="C15" s="3" t="s">
        <v>32</v>
      </c>
      <c r="D15" s="47">
        <f>MAX(Data!S7:S26)</f>
        <v>98.4375</v>
      </c>
      <c r="E15" s="18"/>
      <c r="F15" s="70" t="s">
        <v>4</v>
      </c>
      <c r="G15" s="75"/>
      <c r="H15" s="78">
        <f>VLOOKUP(D15,Lookup!A1:B101,2,FALSE)</f>
        <v>15</v>
      </c>
      <c r="I15" s="79"/>
      <c r="J15" s="38"/>
      <c r="K15" s="18"/>
      <c r="L15" s="43"/>
      <c r="M15" s="11">
        <v>8</v>
      </c>
      <c r="N15" s="26">
        <f>AVERAGE(Data!J7:J26)</f>
        <v>1.95</v>
      </c>
      <c r="O15" s="27" t="s">
        <v>22</v>
      </c>
      <c r="P15" s="28">
        <f>_xlfn.STDEV.S(Data!J7:J26)</f>
        <v>1.3562719801759993</v>
      </c>
      <c r="Q15" s="38"/>
      <c r="R15" s="18"/>
      <c r="S15" s="18"/>
      <c r="T15" s="18"/>
      <c r="U15" s="18"/>
      <c r="V15" s="3"/>
      <c r="W15" s="3"/>
      <c r="X15" s="19"/>
      <c r="Y15" s="21"/>
      <c r="Z15" s="21"/>
      <c r="AA15" s="22"/>
    </row>
    <row r="16" spans="1:30" ht="16.8" thickTop="1" thickBot="1" x14ac:dyDescent="0.35">
      <c r="B16" s="33"/>
      <c r="C16" s="3"/>
      <c r="D16" s="18"/>
      <c r="E16" s="18"/>
      <c r="F16" s="3"/>
      <c r="G16" s="3"/>
      <c r="H16" s="18"/>
      <c r="I16" s="18"/>
      <c r="J16" s="38"/>
      <c r="K16" s="18"/>
      <c r="L16" s="43"/>
      <c r="M16" s="11">
        <v>9</v>
      </c>
      <c r="N16" s="26">
        <f>AVERAGE(Data!K7:K26)</f>
        <v>4.1500000000000004</v>
      </c>
      <c r="O16" s="27" t="s">
        <v>22</v>
      </c>
      <c r="P16" s="28">
        <f>_xlfn.STDEV.S(Data!K7:K26)</f>
        <v>0.98808693416808457</v>
      </c>
      <c r="Q16" s="38"/>
      <c r="R16" s="18"/>
      <c r="S16" s="18"/>
      <c r="T16" s="18"/>
      <c r="U16" s="18"/>
      <c r="V16" s="3"/>
      <c r="W16" s="3"/>
      <c r="X16" s="19"/>
      <c r="Y16" s="21"/>
      <c r="Z16" s="21"/>
      <c r="AA16" s="22"/>
    </row>
    <row r="17" spans="2:27" ht="16.8" thickTop="1" thickBot="1" x14ac:dyDescent="0.35">
      <c r="B17" s="33"/>
      <c r="C17" s="37" t="s">
        <v>35</v>
      </c>
      <c r="D17" s="52">
        <f>MEDIAN(Data!S7:S26)</f>
        <v>81.25</v>
      </c>
      <c r="E17" s="18"/>
      <c r="F17" s="70" t="s">
        <v>4</v>
      </c>
      <c r="G17" s="70"/>
      <c r="H17" s="76">
        <f>IFERROR(VLOOKUP(D17,Lookup!A1:B101,2,FALSE),"N/A")</f>
        <v>2</v>
      </c>
      <c r="I17" s="77"/>
      <c r="J17" s="38"/>
      <c r="K17" s="18"/>
      <c r="L17" s="43"/>
      <c r="M17" s="11">
        <v>10</v>
      </c>
      <c r="N17" s="26">
        <f>AVERAGE(Data!L7:L26)</f>
        <v>1.95</v>
      </c>
      <c r="O17" s="27" t="s">
        <v>22</v>
      </c>
      <c r="P17" s="28">
        <f>_xlfn.STDEV.S(Data!L7:L26)</f>
        <v>1.2763022245616642</v>
      </c>
      <c r="Q17" s="38"/>
      <c r="R17" s="18"/>
      <c r="S17" s="18"/>
      <c r="T17" s="18"/>
      <c r="U17" s="18"/>
      <c r="V17" s="3"/>
      <c r="W17" s="3"/>
      <c r="X17" s="19"/>
      <c r="Y17" s="21"/>
      <c r="Z17" s="21"/>
      <c r="AA17" s="22"/>
    </row>
    <row r="18" spans="2:27" ht="15.75" customHeight="1" thickTop="1" thickBot="1" x14ac:dyDescent="0.35">
      <c r="B18" s="48"/>
      <c r="C18" s="49"/>
      <c r="D18" s="50"/>
      <c r="E18" s="50"/>
      <c r="F18" s="49"/>
      <c r="G18" s="49"/>
      <c r="H18" s="50"/>
      <c r="I18" s="50"/>
      <c r="J18" s="51"/>
      <c r="K18" s="18"/>
      <c r="L18" s="43"/>
      <c r="M18" s="11">
        <v>11</v>
      </c>
      <c r="N18" s="26">
        <f>AVERAGE(Data!M7:M26)</f>
        <v>4.3499999999999996</v>
      </c>
      <c r="O18" s="27" t="s">
        <v>22</v>
      </c>
      <c r="P18" s="28">
        <f>_xlfn.STDEV.S(Data!M7:M26)</f>
        <v>0.74515982037059503</v>
      </c>
      <c r="Q18" s="38"/>
      <c r="R18" s="18"/>
      <c r="S18" s="18"/>
      <c r="T18" s="18"/>
      <c r="U18" s="18"/>
      <c r="V18" s="3"/>
      <c r="W18" s="3"/>
      <c r="X18" s="19"/>
      <c r="Y18" s="21"/>
      <c r="Z18" s="21"/>
      <c r="AA18" s="22"/>
    </row>
    <row r="19" spans="2:27" ht="15.6" x14ac:dyDescent="0.3">
      <c r="C19" s="3"/>
      <c r="F19" s="70"/>
      <c r="G19" s="70"/>
      <c r="K19" s="18"/>
      <c r="L19" s="43"/>
      <c r="M19" s="16">
        <v>12</v>
      </c>
      <c r="N19" s="26">
        <f>AVERAGE(Data!N7:N26)</f>
        <v>1.3</v>
      </c>
      <c r="O19" s="27" t="s">
        <v>22</v>
      </c>
      <c r="P19" s="28">
        <f>_xlfn.STDEV.S(Data!N7:N26)</f>
        <v>0.65694668533178646</v>
      </c>
      <c r="Q19" s="38"/>
      <c r="R19" s="18"/>
      <c r="S19" s="18"/>
      <c r="T19" s="18"/>
      <c r="U19" s="18"/>
      <c r="V19" s="3"/>
      <c r="W19" s="3"/>
      <c r="X19" s="19"/>
      <c r="Y19" s="21"/>
      <c r="Z19" s="21"/>
      <c r="AA19" s="22"/>
    </row>
    <row r="20" spans="2:27" ht="15.75" customHeight="1" x14ac:dyDescent="0.3">
      <c r="B20" s="71" t="s">
        <v>37</v>
      </c>
      <c r="C20" s="71"/>
      <c r="D20" s="71"/>
      <c r="E20" s="71"/>
      <c r="F20" s="71"/>
      <c r="G20" s="71"/>
      <c r="H20" s="71"/>
      <c r="I20" s="71"/>
      <c r="J20" s="71"/>
      <c r="K20" s="18"/>
      <c r="L20" s="43"/>
      <c r="M20" s="11">
        <v>13</v>
      </c>
      <c r="N20" s="26">
        <f>AVERAGE(Data!O7:O26)</f>
        <v>4.1052631578947372</v>
      </c>
      <c r="O20" s="27" t="s">
        <v>22</v>
      </c>
      <c r="P20" s="28">
        <f>_xlfn.STDEV.S(Data!O7:O26)</f>
        <v>0.80930263822251181</v>
      </c>
      <c r="Q20" s="38"/>
      <c r="R20" s="18"/>
      <c r="S20" s="18"/>
      <c r="T20" s="18"/>
      <c r="U20" s="18"/>
      <c r="V20" s="3"/>
      <c r="W20" s="3"/>
      <c r="X20" s="19"/>
      <c r="Y20" s="21"/>
      <c r="Z20" s="21"/>
      <c r="AA20" s="22"/>
    </row>
    <row r="21" spans="2:27" ht="15.6" x14ac:dyDescent="0.3">
      <c r="B21" s="71"/>
      <c r="C21" s="71"/>
      <c r="D21" s="71"/>
      <c r="E21" s="71"/>
      <c r="F21" s="71"/>
      <c r="G21" s="71"/>
      <c r="H21" s="71"/>
      <c r="I21" s="71"/>
      <c r="J21" s="71"/>
      <c r="K21" s="18"/>
      <c r="L21" s="43"/>
      <c r="M21" s="11">
        <v>14</v>
      </c>
      <c r="N21" s="26">
        <f>AVERAGE(Data!P7:P26)</f>
        <v>1.5263157894736843</v>
      </c>
      <c r="O21" s="27" t="s">
        <v>22</v>
      </c>
      <c r="P21" s="28">
        <f>_xlfn.STDEV.S(Data!P7:P26)</f>
        <v>0.96427411113412598</v>
      </c>
      <c r="Q21" s="38"/>
      <c r="R21" s="18"/>
      <c r="S21" s="18"/>
      <c r="T21" s="18"/>
      <c r="U21" s="18"/>
      <c r="V21" s="3"/>
      <c r="W21" s="3"/>
      <c r="X21" s="19"/>
      <c r="Y21" s="21"/>
      <c r="Z21" s="21"/>
      <c r="AA21" s="22"/>
    </row>
    <row r="22" spans="2:27" ht="15.6" x14ac:dyDescent="0.3">
      <c r="B22" s="71"/>
      <c r="C22" s="71"/>
      <c r="D22" s="71"/>
      <c r="E22" s="71"/>
      <c r="F22" s="71"/>
      <c r="G22" s="71"/>
      <c r="H22" s="71"/>
      <c r="I22" s="71"/>
      <c r="J22" s="71"/>
      <c r="K22" s="18"/>
      <c r="L22" s="43"/>
      <c r="M22" s="11">
        <v>15</v>
      </c>
      <c r="N22" s="26">
        <f>AVERAGE(Data!Q7:Q26)</f>
        <v>4.75</v>
      </c>
      <c r="O22" s="27" t="s">
        <v>22</v>
      </c>
      <c r="P22" s="28">
        <f>_xlfn.STDEV.S(Data!Q7:Q26)</f>
        <v>0.4442616583193193</v>
      </c>
      <c r="Q22" s="38"/>
      <c r="R22" s="18"/>
      <c r="S22" s="18"/>
      <c r="T22" s="18"/>
      <c r="U22" s="18"/>
      <c r="V22" s="3"/>
      <c r="W22" s="3"/>
      <c r="X22" s="19"/>
      <c r="Y22" s="21"/>
      <c r="Z22" s="21"/>
      <c r="AA22" s="22"/>
    </row>
    <row r="23" spans="2:27" ht="15.6" x14ac:dyDescent="0.3">
      <c r="B23" s="71"/>
      <c r="C23" s="71"/>
      <c r="D23" s="71"/>
      <c r="E23" s="71"/>
      <c r="F23" s="71"/>
      <c r="G23" s="71"/>
      <c r="H23" s="71"/>
      <c r="I23" s="71"/>
      <c r="J23" s="71"/>
      <c r="K23" s="18"/>
      <c r="L23" s="43"/>
      <c r="M23" s="11">
        <v>16</v>
      </c>
      <c r="N23" s="26">
        <f>AVERAGE(Data!R7:R26)</f>
        <v>1.4</v>
      </c>
      <c r="O23" s="27" t="s">
        <v>22</v>
      </c>
      <c r="P23" s="28">
        <f>_xlfn.STDEV.S(Data!R7:R26)</f>
        <v>0.68055704737872047</v>
      </c>
      <c r="Q23" s="38"/>
      <c r="R23" s="18"/>
      <c r="S23" s="18"/>
      <c r="T23" s="18"/>
      <c r="U23" s="18"/>
      <c r="V23" s="3"/>
      <c r="W23" s="3"/>
      <c r="X23" s="19"/>
      <c r="Y23" s="21"/>
      <c r="Z23" s="21"/>
      <c r="AA23" s="22"/>
    </row>
    <row r="24" spans="2:27" ht="16.2" thickBot="1" x14ac:dyDescent="0.35">
      <c r="B24" s="3"/>
      <c r="C24" s="3"/>
      <c r="D24" s="18"/>
      <c r="E24" s="18"/>
      <c r="F24" s="18"/>
      <c r="G24" s="18"/>
      <c r="H24" s="18"/>
      <c r="I24" s="18"/>
      <c r="J24" s="18"/>
      <c r="K24" s="18"/>
      <c r="L24" s="44"/>
      <c r="M24" s="39"/>
      <c r="N24" s="39"/>
      <c r="O24" s="39"/>
      <c r="P24" s="39"/>
      <c r="Q24" s="40"/>
      <c r="R24" s="18"/>
      <c r="S24" s="18"/>
      <c r="T24" s="18"/>
      <c r="U24" s="18"/>
      <c r="V24" s="3"/>
      <c r="W24" s="3"/>
      <c r="X24" s="19"/>
      <c r="Y24" s="21"/>
      <c r="Z24" s="21"/>
      <c r="AA24" s="22"/>
    </row>
    <row r="25" spans="2:27" ht="19.5" customHeight="1" x14ac:dyDescent="0.3">
      <c r="B25" s="18"/>
      <c r="C25" s="18"/>
      <c r="D25" s="18"/>
      <c r="E25" s="18"/>
      <c r="F25" s="18"/>
      <c r="G25" s="18"/>
      <c r="H25" s="18"/>
      <c r="I25" s="18"/>
      <c r="J25" s="18"/>
      <c r="K25" s="18"/>
      <c r="L25" s="18"/>
      <c r="M25" s="18"/>
      <c r="N25" s="18"/>
      <c r="O25" s="18"/>
      <c r="P25" s="18"/>
      <c r="Q25" s="18"/>
      <c r="R25" s="18"/>
      <c r="S25" s="18"/>
      <c r="T25" s="18"/>
      <c r="U25" s="18"/>
      <c r="V25" s="18"/>
      <c r="W25" s="18"/>
      <c r="X25" s="18"/>
      <c r="Y25" s="18"/>
      <c r="Z25" s="18"/>
      <c r="AA25" s="18"/>
    </row>
    <row r="26" spans="2:27" ht="15.6" hidden="1" x14ac:dyDescent="0.3">
      <c r="K26" s="17"/>
      <c r="L26" s="17"/>
      <c r="M26" s="17"/>
      <c r="N26" s="17"/>
      <c r="O26" s="17"/>
      <c r="P26" s="17"/>
      <c r="Q26" s="17"/>
      <c r="R26" s="17"/>
      <c r="S26" s="17"/>
      <c r="T26" s="17" t="s">
        <v>22</v>
      </c>
      <c r="U26" s="17"/>
      <c r="V26" s="17"/>
      <c r="W26" s="17"/>
      <c r="X26" s="17"/>
      <c r="Y26" s="17"/>
      <c r="Z26" s="17"/>
      <c r="AA26" s="17"/>
    </row>
    <row r="27" spans="2:27" ht="15.6" hidden="1" x14ac:dyDescent="0.3">
      <c r="K27" s="17"/>
      <c r="L27" s="17"/>
      <c r="M27" s="17"/>
      <c r="N27" s="17"/>
      <c r="O27" s="17"/>
      <c r="P27" s="17"/>
      <c r="Q27" s="17"/>
      <c r="R27" s="17"/>
      <c r="S27" s="17" t="s">
        <v>29</v>
      </c>
      <c r="T27" s="60">
        <f>ROUND(AVERAGE(Data!S7:S26),1)</f>
        <v>79.400000000000006</v>
      </c>
      <c r="U27" s="60"/>
      <c r="V27" s="17"/>
      <c r="W27" s="17"/>
      <c r="X27" s="17"/>
      <c r="Y27" s="17"/>
      <c r="Z27" s="17"/>
      <c r="AA27" s="17"/>
    </row>
    <row r="28" spans="2:27" ht="15.6" hidden="1" x14ac:dyDescent="0.3">
      <c r="K28" s="17"/>
      <c r="L28" s="17"/>
      <c r="M28" s="17"/>
      <c r="N28" s="17"/>
      <c r="O28" s="17"/>
      <c r="P28" s="17"/>
      <c r="Q28" s="17"/>
      <c r="R28" s="17"/>
      <c r="S28" s="17" t="s">
        <v>28</v>
      </c>
      <c r="T28" s="60">
        <f>ROUND(_xlfn.STDEV.S(Data!S7:S26),1)</f>
        <v>13.4</v>
      </c>
      <c r="U28" s="60"/>
      <c r="V28" s="17"/>
      <c r="W28" s="17"/>
      <c r="X28" s="17"/>
      <c r="Y28" s="17"/>
      <c r="Z28" s="17"/>
      <c r="AA28" s="17"/>
    </row>
  </sheetData>
  <mergeCells count="16">
    <mergeCell ref="W6:AA6"/>
    <mergeCell ref="D7:F7"/>
    <mergeCell ref="F13:G13"/>
    <mergeCell ref="F15:G15"/>
    <mergeCell ref="F17:G17"/>
    <mergeCell ref="H17:I17"/>
    <mergeCell ref="H13:I13"/>
    <mergeCell ref="H15:I15"/>
    <mergeCell ref="A2:R2"/>
    <mergeCell ref="T27:U27"/>
    <mergeCell ref="T28:U28"/>
    <mergeCell ref="C5:F5"/>
    <mergeCell ref="N7:P7"/>
    <mergeCell ref="L4:Q5"/>
    <mergeCell ref="F19:G19"/>
    <mergeCell ref="B20:J2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Welcome</vt:lpstr>
      <vt:lpstr>Data</vt:lpstr>
      <vt:lpstr>Lookup</vt:lpstr>
      <vt:lpstr>Result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Samuel Holmes</dc:creator>
  <cp:lastModifiedBy>Amanda Sandoval</cp:lastModifiedBy>
  <dcterms:created xsi:type="dcterms:W3CDTF">2019-09-19T14:50:02Z</dcterms:created>
  <dcterms:modified xsi:type="dcterms:W3CDTF">2026-04-27T21:30:47Z</dcterms:modified>
</cp:coreProperties>
</file>